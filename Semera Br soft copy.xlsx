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FFICE PROJECTS\AWASH_PORTAL\"/>
    </mc:Choice>
  </mc:AlternateContent>
  <bookViews>
    <workbookView xWindow="0" yWindow="0" windowWidth="28800" windowHeight="12300" activeTab="3"/>
  </bookViews>
  <sheets>
    <sheet name="Takaful" sheetId="3" r:id="rId1"/>
    <sheet name="NON Life " sheetId="2" r:id="rId2"/>
    <sheet name="Life" sheetId="1" r:id="rId3"/>
    <sheet name="Sheet1" sheetId="4" r:id="rId4"/>
  </sheets>
  <externalReferences>
    <externalReference r:id="rId5"/>
  </externalReferences>
  <definedNames>
    <definedName name="_xlnm.Print_Area" localSheetId="2">Life!$A$1:$H$17</definedName>
    <definedName name="_xlnm.Print_Area" localSheetId="1">'NON Life '!$A$1:$K$16</definedName>
    <definedName name="_xlnm.Print_Area" localSheetId="0">Takaful!$A$1:$K$16</definedName>
    <definedName name="StartDate">'[1]CASH FLOW'!$C$5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3" l="1"/>
  <c r="D74" i="3" s="1"/>
  <c r="E61" i="3"/>
  <c r="D62" i="3"/>
  <c r="D80" i="3" s="1"/>
  <c r="E60" i="3"/>
  <c r="E78" i="3" s="1"/>
  <c r="E69" i="3"/>
  <c r="D61" i="3"/>
  <c r="E55" i="3"/>
  <c r="E73" i="3" s="1"/>
  <c r="E59" i="3"/>
  <c r="E77" i="3" s="1"/>
  <c r="E63" i="3"/>
  <c r="E81" i="3" s="1"/>
  <c r="E67" i="3"/>
  <c r="E85" i="3" s="1"/>
  <c r="E58" i="3"/>
  <c r="E76" i="3" s="1"/>
  <c r="E66" i="3"/>
  <c r="E84" i="3" s="1"/>
  <c r="J69" i="3" l="1"/>
  <c r="C61" i="3"/>
  <c r="E70" i="3"/>
  <c r="D64" i="3"/>
  <c r="D82" i="3" s="1"/>
  <c r="E57" i="3"/>
  <c r="F61" i="3"/>
  <c r="E64" i="3"/>
  <c r="E82" i="3" s="1"/>
  <c r="D57" i="3"/>
  <c r="D60" i="3"/>
  <c r="D78" i="3" s="1"/>
  <c r="F65" i="3"/>
  <c r="H61" i="3"/>
  <c r="I57" i="3"/>
  <c r="E79" i="3"/>
  <c r="D63" i="3"/>
  <c r="D81" i="3" s="1"/>
  <c r="D55" i="3"/>
  <c r="D73" i="3" s="1"/>
  <c r="D69" i="3"/>
  <c r="D70" i="3"/>
  <c r="I65" i="3"/>
  <c r="C69" i="3"/>
  <c r="H57" i="3"/>
  <c r="B69" i="3"/>
  <c r="K65" i="3"/>
  <c r="G65" i="3"/>
  <c r="B65" i="3"/>
  <c r="K69" i="3"/>
  <c r="K61" i="3"/>
  <c r="D65" i="3"/>
  <c r="D54" i="3"/>
  <c r="D72" i="3" s="1"/>
  <c r="E68" i="3"/>
  <c r="E86" i="3" s="1"/>
  <c r="E87" i="3" s="1"/>
  <c r="D66" i="3"/>
  <c r="D84" i="3" s="1"/>
  <c r="E56" i="3"/>
  <c r="E74" i="3" s="1"/>
  <c r="I61" i="3"/>
  <c r="G69" i="3"/>
  <c r="G57" i="3"/>
  <c r="E62" i="3"/>
  <c r="E80" i="3" s="1"/>
  <c r="E54" i="3"/>
  <c r="E72" i="3" s="1"/>
  <c r="E75" i="3" s="1"/>
  <c r="D67" i="3"/>
  <c r="D85" i="3" s="1"/>
  <c r="D59" i="3"/>
  <c r="D77" i="3" s="1"/>
  <c r="E65" i="3"/>
  <c r="D68" i="3"/>
  <c r="D86" i="3" s="1"/>
  <c r="D58" i="3"/>
  <c r="D76" i="3" s="1"/>
  <c r="D83" i="3" l="1"/>
  <c r="H70" i="3"/>
  <c r="H64" i="3"/>
  <c r="H82" i="3" s="1"/>
  <c r="H54" i="3"/>
  <c r="H72" i="3" s="1"/>
  <c r="H56" i="3"/>
  <c r="H74" i="3" s="1"/>
  <c r="H67" i="3"/>
  <c r="H85" i="3" s="1"/>
  <c r="H62" i="3"/>
  <c r="H80" i="3" s="1"/>
  <c r="H63" i="3"/>
  <c r="H81" i="3" s="1"/>
  <c r="H66" i="3"/>
  <c r="H84" i="3" s="1"/>
  <c r="H59" i="3"/>
  <c r="H77" i="3" s="1"/>
  <c r="H55" i="3"/>
  <c r="H73" i="3" s="1"/>
  <c r="H68" i="3"/>
  <c r="H86" i="3" s="1"/>
  <c r="H58" i="3"/>
  <c r="H76" i="3" s="1"/>
  <c r="H60" i="3"/>
  <c r="H78" i="3" s="1"/>
  <c r="K70" i="3"/>
  <c r="K54" i="3"/>
  <c r="K72" i="3" s="1"/>
  <c r="K57" i="3"/>
  <c r="K56" i="3"/>
  <c r="K74" i="3" s="1"/>
  <c r="K64" i="3"/>
  <c r="K82" i="3" s="1"/>
  <c r="K66" i="3"/>
  <c r="K84" i="3" s="1"/>
  <c r="K62" i="3"/>
  <c r="K80" i="3" s="1"/>
  <c r="K59" i="3"/>
  <c r="K77" i="3" s="1"/>
  <c r="K67" i="3"/>
  <c r="K85" i="3" s="1"/>
  <c r="K60" i="3"/>
  <c r="K78" i="3" s="1"/>
  <c r="K68" i="3"/>
  <c r="K86" i="3" s="1"/>
  <c r="K58" i="3"/>
  <c r="K76" i="3" s="1"/>
  <c r="K55" i="3"/>
  <c r="K73" i="3" s="1"/>
  <c r="K63" i="3"/>
  <c r="K81" i="3" s="1"/>
  <c r="B70" i="3"/>
  <c r="B63" i="3"/>
  <c r="B81" i="3" s="1"/>
  <c r="B54" i="3"/>
  <c r="B72" i="3" s="1"/>
  <c r="B56" i="3"/>
  <c r="B74" i="3" s="1"/>
  <c r="B59" i="3"/>
  <c r="B77" i="3" s="1"/>
  <c r="B66" i="3"/>
  <c r="B84" i="3" s="1"/>
  <c r="B57" i="3"/>
  <c r="B64" i="3"/>
  <c r="B82" i="3" s="1"/>
  <c r="B58" i="3"/>
  <c r="B76" i="3" s="1"/>
  <c r="B55" i="3"/>
  <c r="B73" i="3" s="1"/>
  <c r="B68" i="3"/>
  <c r="B86" i="3" s="1"/>
  <c r="B62" i="3"/>
  <c r="B80" i="3" s="1"/>
  <c r="B67" i="3"/>
  <c r="B85" i="3" s="1"/>
  <c r="B60" i="3"/>
  <c r="B78" i="3" s="1"/>
  <c r="D87" i="3"/>
  <c r="B61" i="3"/>
  <c r="F69" i="3"/>
  <c r="H69" i="3"/>
  <c r="D79" i="3"/>
  <c r="J57" i="3"/>
  <c r="C70" i="3"/>
  <c r="C67" i="3"/>
  <c r="C85" i="3" s="1"/>
  <c r="C55" i="3"/>
  <c r="C73" i="3" s="1"/>
  <c r="C59" i="3"/>
  <c r="C77" i="3" s="1"/>
  <c r="C56" i="3"/>
  <c r="C74" i="3" s="1"/>
  <c r="C64" i="3"/>
  <c r="C82" i="3" s="1"/>
  <c r="C62" i="3"/>
  <c r="C80" i="3" s="1"/>
  <c r="C66" i="3"/>
  <c r="C84" i="3" s="1"/>
  <c r="C54" i="3"/>
  <c r="C72" i="3" s="1"/>
  <c r="C58" i="3"/>
  <c r="C76" i="3" s="1"/>
  <c r="C60" i="3"/>
  <c r="C78" i="3" s="1"/>
  <c r="C68" i="3"/>
  <c r="C86" i="3" s="1"/>
  <c r="C57" i="3"/>
  <c r="C63" i="3"/>
  <c r="C81" i="3" s="1"/>
  <c r="J65" i="3"/>
  <c r="G61" i="3"/>
  <c r="F70" i="3"/>
  <c r="F56" i="3"/>
  <c r="F74" i="3" s="1"/>
  <c r="F63" i="3"/>
  <c r="F81" i="3" s="1"/>
  <c r="F60" i="3"/>
  <c r="F78" i="3" s="1"/>
  <c r="F67" i="3"/>
  <c r="F85" i="3" s="1"/>
  <c r="F59" i="3"/>
  <c r="F77" i="3" s="1"/>
  <c r="F58" i="3"/>
  <c r="F76" i="3" s="1"/>
  <c r="F66" i="3"/>
  <c r="F84" i="3" s="1"/>
  <c r="F64" i="3"/>
  <c r="F82" i="3" s="1"/>
  <c r="F68" i="3"/>
  <c r="F86" i="3" s="1"/>
  <c r="F55" i="3"/>
  <c r="F73" i="3" s="1"/>
  <c r="F54" i="3"/>
  <c r="F72" i="3" s="1"/>
  <c r="F75" i="3" s="1"/>
  <c r="F62" i="3"/>
  <c r="F80" i="3" s="1"/>
  <c r="I70" i="3"/>
  <c r="I67" i="3"/>
  <c r="I85" i="3" s="1"/>
  <c r="I66" i="3"/>
  <c r="I84" i="3" s="1"/>
  <c r="I55" i="3"/>
  <c r="I73" i="3" s="1"/>
  <c r="I62" i="3"/>
  <c r="I80" i="3" s="1"/>
  <c r="I54" i="3"/>
  <c r="I72" i="3" s="1"/>
  <c r="I60" i="3"/>
  <c r="I78" i="3" s="1"/>
  <c r="I68" i="3"/>
  <c r="I86" i="3" s="1"/>
  <c r="I63" i="3"/>
  <c r="I81" i="3" s="1"/>
  <c r="I59" i="3"/>
  <c r="I77" i="3" s="1"/>
  <c r="I58" i="3"/>
  <c r="I76" i="3" s="1"/>
  <c r="I56" i="3"/>
  <c r="I74" i="3" s="1"/>
  <c r="I64" i="3"/>
  <c r="I82" i="3" s="1"/>
  <c r="G70" i="3"/>
  <c r="G64" i="3"/>
  <c r="G82" i="3" s="1"/>
  <c r="G58" i="3"/>
  <c r="G76" i="3" s="1"/>
  <c r="G66" i="3"/>
  <c r="G84" i="3" s="1"/>
  <c r="G87" i="3" s="1"/>
  <c r="G68" i="3"/>
  <c r="G86" i="3" s="1"/>
  <c r="G56" i="3"/>
  <c r="G74" i="3" s="1"/>
  <c r="G67" i="3"/>
  <c r="G85" i="3" s="1"/>
  <c r="G55" i="3"/>
  <c r="G73" i="3" s="1"/>
  <c r="G60" i="3"/>
  <c r="G78" i="3" s="1"/>
  <c r="G54" i="3"/>
  <c r="G72" i="3" s="1"/>
  <c r="G62" i="3"/>
  <c r="G80" i="3" s="1"/>
  <c r="G63" i="3"/>
  <c r="G81" i="3" s="1"/>
  <c r="G59" i="3"/>
  <c r="G77" i="3" s="1"/>
  <c r="H65" i="3"/>
  <c r="E83" i="3"/>
  <c r="E88" i="3" s="1"/>
  <c r="D75" i="3"/>
  <c r="I69" i="3"/>
  <c r="C65" i="3"/>
  <c r="F57" i="3"/>
  <c r="J61" i="3"/>
  <c r="J70" i="3"/>
  <c r="J66" i="3"/>
  <c r="J84" i="3" s="1"/>
  <c r="J55" i="3"/>
  <c r="J73" i="3" s="1"/>
  <c r="J63" i="3"/>
  <c r="J81" i="3" s="1"/>
  <c r="J59" i="3"/>
  <c r="J77" i="3" s="1"/>
  <c r="J58" i="3"/>
  <c r="J76" i="3" s="1"/>
  <c r="J54" i="3"/>
  <c r="J72" i="3" s="1"/>
  <c r="J56" i="3"/>
  <c r="J74" i="3" s="1"/>
  <c r="J64" i="3"/>
  <c r="J82" i="3" s="1"/>
  <c r="J62" i="3"/>
  <c r="J80" i="3" s="1"/>
  <c r="J67" i="3"/>
  <c r="J85" i="3" s="1"/>
  <c r="J60" i="3"/>
  <c r="J78" i="3" s="1"/>
  <c r="J68" i="3"/>
  <c r="J86" i="3" s="1"/>
  <c r="H87" i="3" l="1"/>
  <c r="D88" i="3"/>
  <c r="B87" i="3"/>
  <c r="J75" i="3"/>
  <c r="I87" i="3"/>
  <c r="K87" i="3"/>
  <c r="I79" i="3"/>
  <c r="I83" i="3"/>
  <c r="K83" i="3"/>
  <c r="J79" i="3"/>
  <c r="I75" i="3"/>
  <c r="F83" i="3"/>
  <c r="C83" i="3"/>
  <c r="C87" i="3"/>
  <c r="B79" i="3"/>
  <c r="J83" i="3"/>
  <c r="C75" i="3"/>
  <c r="K75" i="3"/>
  <c r="H75" i="3"/>
  <c r="J87" i="3"/>
  <c r="F79" i="3"/>
  <c r="F87" i="3"/>
  <c r="C79" i="3"/>
  <c r="B75" i="3"/>
  <c r="H79" i="3"/>
  <c r="G75" i="3"/>
  <c r="G83" i="3"/>
  <c r="G79" i="3"/>
  <c r="B83" i="3"/>
  <c r="K79" i="3"/>
  <c r="D98" i="3"/>
  <c r="E98" i="3"/>
  <c r="F98" i="3"/>
  <c r="G98" i="3"/>
  <c r="H98" i="3"/>
  <c r="I98" i="3"/>
  <c r="J98" i="3"/>
  <c r="B98" i="3"/>
  <c r="K98" i="3"/>
  <c r="C98" i="3"/>
  <c r="H83" i="3"/>
  <c r="G88" i="3" l="1"/>
  <c r="J88" i="3"/>
  <c r="I88" i="3"/>
  <c r="F88" i="3"/>
  <c r="B88" i="3"/>
  <c r="C88" i="3"/>
  <c r="K88" i="3"/>
  <c r="H88" i="3"/>
</calcChain>
</file>

<file path=xl/sharedStrings.xml><?xml version="1.0" encoding="utf-8"?>
<sst xmlns="http://schemas.openxmlformats.org/spreadsheetml/2006/main" count="100" uniqueCount="40">
  <si>
    <t>AWASH INSURANCE S.C.</t>
  </si>
  <si>
    <t>LIFE PRODUCTION PLAN FOR JULY 2026 - JUNE 2027</t>
  </si>
  <si>
    <r>
      <t>Branch:Semera</t>
    </r>
    <r>
      <rPr>
        <b/>
        <u/>
        <sz val="16"/>
        <color theme="1"/>
        <rFont val="Calibri"/>
        <family val="2"/>
        <scheme val="minor"/>
      </rPr>
      <t xml:space="preserve"> Branch</t>
    </r>
  </si>
  <si>
    <t>Month/Class of 
Business</t>
  </si>
  <si>
    <t>Individual Life</t>
  </si>
  <si>
    <t>Group Life</t>
  </si>
  <si>
    <t>Medical Expense</t>
  </si>
  <si>
    <t xml:space="preserve">Travellers Insurance </t>
  </si>
  <si>
    <t>MRI</t>
  </si>
  <si>
    <t>Total</t>
  </si>
  <si>
    <t>% Share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</si>
  <si>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</si>
  <si>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</si>
  <si>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</si>
  <si>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</si>
  <si>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</si>
  <si>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</si>
  <si>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</si>
  <si>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</si>
  <si>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</si>
  <si>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</si>
  <si>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</si>
  <si>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</si>
  <si>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AWASH INSURANCE S.C</t>
  </si>
  <si>
    <t>NON-LIFE PRODUCTION TARGET FOR July  2026- JUNE 2027</t>
  </si>
  <si>
    <t>Branch: Semera  Branch</t>
  </si>
  <si>
    <t>Fire</t>
  </si>
  <si>
    <t>Marine</t>
  </si>
  <si>
    <t>Motor</t>
  </si>
  <si>
    <t>WCGN</t>
  </si>
  <si>
    <t>PVT</t>
  </si>
  <si>
    <t>Others</t>
  </si>
  <si>
    <t>GPA</t>
  </si>
  <si>
    <t>Liabilities</t>
  </si>
  <si>
    <t>Bond</t>
  </si>
  <si>
    <t>Engineering</t>
  </si>
  <si>
    <t xml:space="preserve">July </t>
  </si>
  <si>
    <t>TAKAFUL PRODUCTION TARGET FOR  JULY 2026- JUNE 2027</t>
  </si>
  <si>
    <t>Branch: Semera Branch</t>
  </si>
  <si>
    <t>Septmber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</si>
</sst>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0;[Red]#,##0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26"/>
      <color theme="1" tint="0.14993743705557422"/>
      <name val="Cambria"/>
      <family val="2"/>
      <scheme val="major"/>
    </font>
    <font>
      <sz val="14"/>
      <color theme="1" tint="0.24994659260841701"/>
      <name val="Cambria"/>
      <family val="2"/>
      <scheme val="major"/>
    </font>
    <font>
      <sz val="10"/>
      <color theme="1" tint="0.1499679555650502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-0.499984740745262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7" applyNumberFormat="0" applyFill="0" applyAlignment="0" applyProtection="0"/>
    <xf numFmtId="0" fontId="10" fillId="0" borderId="0" applyNumberFormat="0" applyFill="0" applyAlignment="0" applyProtection="0"/>
    <xf numFmtId="0" fontId="11" fillId="0" borderId="0"/>
    <xf numFmtId="9" fontId="11" fillId="0" borderId="0" applyFont="0" applyFill="0" applyBorder="0" applyAlignment="0" applyProtection="0"/>
  </cellStyleXfs>
  <cellXfs count="32">
    <xf numFmtId="0" fontId="0" fillId="0" borderId="0" xfId="0"/>
    <xf numFmtId="3" fontId="5" fillId="0" borderId="0" xfId="0" applyNumberFormat="1" applyFont="1" applyAlignment="1">
      <alignment horizontal="left"/>
    </xf>
    <xf numFmtId="3" fontId="6" fillId="0" borderId="1" xfId="0" applyNumberFormat="1" applyFont="1" applyBorder="1" applyAlignment="1">
      <alignment wrapText="1"/>
    </xf>
    <xf numFmtId="3" fontId="7" fillId="0" borderId="2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6" fillId="0" borderId="5" xfId="0" applyNumberFormat="1" applyFont="1" applyBorder="1"/>
    <xf numFmtId="43" fontId="6" fillId="0" borderId="3" xfId="1" applyFont="1" applyBorder="1"/>
    <xf numFmtId="164" fontId="7" fillId="2" borderId="3" xfId="0" applyNumberFormat="1" applyFont="1" applyFill="1" applyBorder="1"/>
    <xf numFmtId="9" fontId="7" fillId="0" borderId="6" xfId="0" applyNumberFormat="1" applyFont="1" applyBorder="1" applyAlignment="1">
      <alignment horizontal="right"/>
    </xf>
    <xf numFmtId="164" fontId="0" fillId="0" borderId="0" xfId="0" applyNumberFormat="1"/>
    <xf numFmtId="43" fontId="0" fillId="0" borderId="0" xfId="1" applyFont="1"/>
    <xf numFmtId="43" fontId="0" fillId="0" borderId="0" xfId="0" applyNumberFormat="1"/>
    <xf numFmtId="1" fontId="0" fillId="0" borderId="0" xfId="0" applyNumberFormat="1"/>
    <xf numFmtId="3" fontId="2" fillId="0" borderId="3" xfId="0" applyNumberFormat="1" applyFont="1" applyBorder="1" applyAlignment="1">
      <alignment wrapText="1"/>
    </xf>
    <xf numFmtId="3" fontId="2" fillId="0" borderId="3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3" fontId="0" fillId="0" borderId="3" xfId="0" applyNumberFormat="1" applyBorder="1"/>
    <xf numFmtId="43" fontId="0" fillId="0" borderId="3" xfId="1" applyFont="1" applyBorder="1"/>
    <xf numFmtId="165" fontId="0" fillId="0" borderId="0" xfId="0" applyNumberFormat="1"/>
    <xf numFmtId="43" fontId="0" fillId="3" borderId="3" xfId="1" applyFont="1" applyFill="1" applyBorder="1"/>
    <xf numFmtId="43" fontId="0" fillId="0" borderId="3" xfId="1" applyFont="1" applyFill="1" applyBorder="1"/>
    <xf numFmtId="0" fontId="0" fillId="3" borderId="3" xfId="0" applyFill="1" applyBorder="1"/>
    <xf numFmtId="43" fontId="0" fillId="0" borderId="3" xfId="0" applyNumberFormat="1" applyBorder="1"/>
    <xf numFmtId="10" fontId="0" fillId="0" borderId="0" xfId="2" applyNumberFormat="1" applyFont="1"/>
    <xf numFmtId="9" fontId="0" fillId="0" borderId="0" xfId="2" applyFont="1"/>
    <xf numFmtId="165" fontId="0" fillId="0" borderId="3" xfId="1" applyNumberFormat="1" applyFont="1" applyBorder="1"/>
    <xf numFmtId="9" fontId="0" fillId="0" borderId="0" xfId="0" applyNumberFormat="1"/>
    <xf numFmtId="3" fontId="12" fillId="2" borderId="0" xfId="0" applyNumberFormat="1" applyFont="1" applyFill="1" applyAlignment="1">
      <alignment horizontal="center"/>
    </xf>
    <xf numFmtId="3" fontId="12" fillId="0" borderId="3" xfId="0" applyNumberFormat="1" applyFont="1" applyBorder="1" applyAlignment="1">
      <alignment horizontal="left"/>
    </xf>
    <xf numFmtId="3" fontId="3" fillId="2" borderId="0" xfId="0" applyNumberFormat="1" applyFont="1" applyFill="1" applyAlignment="1">
      <alignment horizontal="center"/>
    </xf>
    <xf numFmtId="3" fontId="3" fillId="0" borderId="0" xfId="0" applyNumberFormat="1" applyFont="1" applyAlignment="1">
      <alignment horizontal="left"/>
    </xf>
  </cellXfs>
  <cellStyles count="11">
    <cellStyle name="Comma" xfId="1" builtinId="3"/>
    <cellStyle name="Comma 2" xfId="3"/>
    <cellStyle name="Comma 2 2" xfId="4"/>
    <cellStyle name="Comma 3" xfId="5"/>
    <cellStyle name="Comma 7" xfId="6"/>
    <cellStyle name="Heading 1 2" xfId="7"/>
    <cellStyle name="Heading 2 2" xfId="8"/>
    <cellStyle name="Normal" xfId="0" builtinId="0"/>
    <cellStyle name="Normal 2" xfId="9"/>
    <cellStyle name="Percent" xfId="2" builtinId="5"/>
    <cellStyle name="Percent 2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New%20folder\Cash%20flo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"/>
      <sheetName val="Dessie Branch Cash Flow"/>
      <sheetName val="Dessie Branch Cash Flow (2)"/>
      <sheetName val="Lagatafo Branch Cash Flow "/>
      <sheetName val="Lagatafo Branch Cash Flow  (2)"/>
      <sheetName val="Sheet1"/>
    </sheetNames>
    <sheetDataSet>
      <sheetData sheetId="0">
        <row r="5">
          <cell r="C5">
            <v>41462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opLeftCell="C1" zoomScaleNormal="100" zoomScaleSheetLayoutView="190" workbookViewId="0">
      <selection activeCell="P9" sqref="P9"/>
    </sheetView>
  </sheetViews>
  <sheetFormatPr defaultColWidth="12.85546875" defaultRowHeight="15" x14ac:dyDescent="0.25"/>
  <cols>
    <col min="1" max="1" width="16.5703125" customWidth="1"/>
    <col min="2" max="2" width="14.7109375" bestFit="1" customWidth="1"/>
    <col min="3" max="3" width="13.42578125" bestFit="1" customWidth="1"/>
    <col min="4" max="4" width="15.42578125" bestFit="1" customWidth="1"/>
    <col min="5" max="5" width="12.7109375" bestFit="1" customWidth="1"/>
    <col min="6" max="6" width="12.42578125" customWidth="1"/>
    <col min="7" max="7" width="13.28515625" bestFit="1" customWidth="1"/>
    <col min="8" max="10" width="13.28515625" customWidth="1"/>
    <col min="11" max="11" width="13.28515625" bestFit="1" customWidth="1"/>
  </cols>
  <sheetData>
    <row r="1" spans="1:11" ht="15.75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5.75" x14ac:dyDescent="0.25">
      <c r="A2" s="28" t="s">
        <v>37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5.75" x14ac:dyDescent="0.25">
      <c r="A3" s="29" t="s">
        <v>38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ht="29.25" customHeight="1" x14ac:dyDescent="0.25">
      <c r="A4" s="14" t="s">
        <v>3</v>
      </c>
      <c r="B4" s="16" t="s">
        <v>26</v>
      </c>
      <c r="C4" s="16" t="s">
        <v>27</v>
      </c>
      <c r="D4" s="16" t="s">
        <v>28</v>
      </c>
      <c r="E4" s="16" t="s">
        <v>29</v>
      </c>
      <c r="F4" s="16" t="s">
        <v>30</v>
      </c>
      <c r="G4" s="16" t="s">
        <v>31</v>
      </c>
      <c r="H4" s="16" t="s">
        <v>32</v>
      </c>
      <c r="I4" s="16" t="s">
        <v>33</v>
      </c>
      <c r="J4" s="16" t="s">
        <v>34</v>
      </c>
      <c r="K4" s="16" t="s">
        <v>35</v>
      </c>
    </row>
    <row r="5" spans="1:11" x14ac:dyDescent="0.25">
      <c r="A5" s="17" t="s">
        <v>11</v>
      </c>
      <c r="B5" s="26">
        <v>14412.196503455814</v>
      </c>
      <c r="C5" s="26">
        <v>3092.5899821646362</v>
      </c>
      <c r="D5" s="26">
        <v>117397.54943323287</v>
      </c>
      <c r="E5" s="26">
        <v>1962.4499138778444</v>
      </c>
      <c r="F5" s="26">
        <v>25181.865974634078</v>
      </c>
      <c r="G5" s="26">
        <v>1194.8525322695812</v>
      </c>
      <c r="H5" s="26">
        <v>926.06513960258121</v>
      </c>
      <c r="I5" s="26">
        <v>1374.9555180310267</v>
      </c>
      <c r="J5" s="26">
        <v>1807.4248088716017</v>
      </c>
      <c r="K5" s="26">
        <v>2464.0973487678893</v>
      </c>
    </row>
    <row r="6" spans="1:11" x14ac:dyDescent="0.25">
      <c r="A6" s="17" t="s">
        <v>12</v>
      </c>
      <c r="B6" s="26">
        <v>11917.009891103673</v>
      </c>
      <c r="C6" s="26">
        <v>2203.453649203338</v>
      </c>
      <c r="D6" s="26">
        <v>97790.593010985991</v>
      </c>
      <c r="E6" s="26">
        <v>906.67603823925037</v>
      </c>
      <c r="F6" s="26">
        <v>23512.349998415248</v>
      </c>
      <c r="G6" s="26">
        <v>1591.2755686767787</v>
      </c>
      <c r="H6" s="26">
        <v>1143.9628195090711</v>
      </c>
      <c r="I6" s="26">
        <v>1419.0717378608995</v>
      </c>
      <c r="J6" s="26">
        <v>1799.5321241167042</v>
      </c>
      <c r="K6" s="26">
        <v>1763.2102727621764</v>
      </c>
    </row>
    <row r="7" spans="1:11" x14ac:dyDescent="0.25">
      <c r="A7" s="17" t="s">
        <v>39</v>
      </c>
      <c r="B7" s="26">
        <v>13407.430920886791</v>
      </c>
      <c r="C7" s="26">
        <v>1358.4398711107956</v>
      </c>
      <c r="D7" s="26">
        <v>111864.42768362349</v>
      </c>
      <c r="E7" s="26">
        <v>1120.2486161356071</v>
      </c>
      <c r="F7" s="26">
        <v>17962.322388138433</v>
      </c>
      <c r="G7" s="26">
        <v>1044.1001099738864</v>
      </c>
      <c r="H7" s="26">
        <v>2495.5821279690267</v>
      </c>
      <c r="I7" s="26">
        <v>3317.5397312064138</v>
      </c>
      <c r="J7" s="26">
        <v>1627.8662306976764</v>
      </c>
      <c r="K7" s="26">
        <v>1713.5237987416963</v>
      </c>
    </row>
    <row r="8" spans="1:11" x14ac:dyDescent="0.25">
      <c r="A8" s="17" t="s">
        <v>14</v>
      </c>
      <c r="B8" s="26">
        <v>28241.357027404538</v>
      </c>
      <c r="C8" s="26">
        <v>2604.5677843738486</v>
      </c>
      <c r="D8" s="26">
        <v>120106.01582580745</v>
      </c>
      <c r="E8" s="26">
        <v>3149.1881061509962</v>
      </c>
      <c r="F8" s="26">
        <v>20624.365612219368</v>
      </c>
      <c r="G8" s="26">
        <v>1139.0183017896945</v>
      </c>
      <c r="H8" s="26">
        <v>2981.1126332206622</v>
      </c>
      <c r="I8" s="26">
        <v>3581.6488339212497</v>
      </c>
      <c r="J8" s="26">
        <v>2302.7697040889893</v>
      </c>
      <c r="K8" s="26">
        <v>2553.7968239907036</v>
      </c>
    </row>
    <row r="9" spans="1:11" x14ac:dyDescent="0.25">
      <c r="A9" s="17" t="s">
        <v>15</v>
      </c>
      <c r="B9" s="26">
        <v>30354.284699457399</v>
      </c>
      <c r="C9" s="26">
        <v>1327.4738598756323</v>
      </c>
      <c r="D9" s="26">
        <v>143526.33251661211</v>
      </c>
      <c r="E9" s="26">
        <v>1927.0291033172975</v>
      </c>
      <c r="F9" s="26">
        <v>15267.723602521235</v>
      </c>
      <c r="G9" s="26">
        <v>1570.1143953249014</v>
      </c>
      <c r="H9" s="26">
        <v>1879.3674891934736</v>
      </c>
      <c r="I9" s="26">
        <v>3029.3872886842955</v>
      </c>
      <c r="J9" s="26">
        <v>2721.2003863698974</v>
      </c>
      <c r="K9" s="26">
        <v>1662.4478622618822</v>
      </c>
    </row>
    <row r="10" spans="1:11" x14ac:dyDescent="0.25">
      <c r="A10" s="17" t="s">
        <v>16</v>
      </c>
      <c r="B10" s="26">
        <v>30520.946760626855</v>
      </c>
      <c r="C10" s="26">
        <v>1144.51233235319</v>
      </c>
      <c r="D10" s="26">
        <v>143939.72351309547</v>
      </c>
      <c r="E10" s="26">
        <v>2184.0818343363276</v>
      </c>
      <c r="F10" s="26">
        <v>13300.477277210046</v>
      </c>
      <c r="G10" s="26">
        <v>1552.1916073408579</v>
      </c>
      <c r="H10" s="26">
        <v>1896.3635082261799</v>
      </c>
      <c r="I10" s="26">
        <v>5802.165232024834</v>
      </c>
      <c r="J10" s="26">
        <v>1921.8687378176203</v>
      </c>
      <c r="K10" s="26">
        <v>2791.2366113452108</v>
      </c>
    </row>
    <row r="11" spans="1:11" x14ac:dyDescent="0.25">
      <c r="A11" s="17" t="s">
        <v>17</v>
      </c>
      <c r="B11" s="26">
        <v>36167.281315741711</v>
      </c>
      <c r="C11" s="26">
        <v>2593.8714074359682</v>
      </c>
      <c r="D11" s="26">
        <v>156665.71126231496</v>
      </c>
      <c r="E11" s="26">
        <v>1845.5894467270077</v>
      </c>
      <c r="F11" s="26">
        <v>13501.097447019007</v>
      </c>
      <c r="G11" s="26">
        <v>4717.9924755504489</v>
      </c>
      <c r="H11" s="26">
        <v>2605.2391353819676</v>
      </c>
      <c r="I11" s="26">
        <v>6280.7526901459014</v>
      </c>
      <c r="J11" s="26">
        <v>1105.765134161185</v>
      </c>
      <c r="K11" s="26">
        <v>1873.1361002411152</v>
      </c>
    </row>
    <row r="12" spans="1:11" x14ac:dyDescent="0.25">
      <c r="A12" s="17" t="s">
        <v>18</v>
      </c>
      <c r="B12" s="26">
        <v>32154.186049724645</v>
      </c>
      <c r="C12" s="26">
        <v>989.46834863861534</v>
      </c>
      <c r="D12" s="26">
        <v>168776.14471045841</v>
      </c>
      <c r="E12" s="26">
        <v>1418.444290934294</v>
      </c>
      <c r="F12" s="26">
        <v>21820.85206184287</v>
      </c>
      <c r="G12" s="26">
        <v>1367.938646757231</v>
      </c>
      <c r="H12" s="26">
        <v>1384.4673837058588</v>
      </c>
      <c r="I12" s="26">
        <v>3016.4465308675331</v>
      </c>
      <c r="J12" s="26">
        <v>726.12699745059979</v>
      </c>
      <c r="K12" s="26">
        <v>1275.456185138828</v>
      </c>
    </row>
    <row r="13" spans="1:11" x14ac:dyDescent="0.25">
      <c r="A13" s="17" t="s">
        <v>19</v>
      </c>
      <c r="B13" s="26">
        <v>20760.517040356288</v>
      </c>
      <c r="C13" s="26">
        <v>2449.470318774584</v>
      </c>
      <c r="D13" s="26">
        <v>185383.33829377141</v>
      </c>
      <c r="E13" s="26">
        <v>2209.1060929917312</v>
      </c>
      <c r="F13" s="26">
        <v>27603.220645476798</v>
      </c>
      <c r="G13" s="26">
        <v>3087.6887797682293</v>
      </c>
      <c r="H13" s="26">
        <v>2986.3421775384181</v>
      </c>
      <c r="I13" s="26">
        <v>5742.6083352545065</v>
      </c>
      <c r="J13" s="26">
        <v>2545.3908334545476</v>
      </c>
      <c r="K13" s="26">
        <v>1305.0570119623565</v>
      </c>
    </row>
    <row r="14" spans="1:11" x14ac:dyDescent="0.25">
      <c r="A14" s="17" t="s">
        <v>20</v>
      </c>
      <c r="B14" s="26">
        <v>37851.754209850515</v>
      </c>
      <c r="C14" s="26">
        <v>2203.453649203338</v>
      </c>
      <c r="D14" s="26">
        <v>153947.90580403904</v>
      </c>
      <c r="E14" s="26">
        <v>3228.5726303879442</v>
      </c>
      <c r="F14" s="26">
        <v>20764.604954221748</v>
      </c>
      <c r="G14" s="26">
        <v>1111.1011865497508</v>
      </c>
      <c r="H14" s="26">
        <v>1383.6502674062094</v>
      </c>
      <c r="I14" s="26">
        <v>6574.8608223450519</v>
      </c>
      <c r="J14" s="26">
        <v>1930.5901544717824</v>
      </c>
      <c r="K14" s="26">
        <v>2552.0028344862471</v>
      </c>
    </row>
    <row r="15" spans="1:11" x14ac:dyDescent="0.25">
      <c r="A15" s="17" t="s">
        <v>21</v>
      </c>
      <c r="B15" s="26">
        <v>26483.02948549945</v>
      </c>
      <c r="C15" s="26">
        <v>2417.4346698456329</v>
      </c>
      <c r="D15" s="26">
        <v>171374.60240263995</v>
      </c>
      <c r="E15" s="26">
        <v>1634.6361551633418</v>
      </c>
      <c r="F15" s="26">
        <v>34906.796536108784</v>
      </c>
      <c r="G15" s="26">
        <v>2709.7468736498745</v>
      </c>
      <c r="H15" s="26">
        <v>2654.0482156810212</v>
      </c>
      <c r="I15" s="26">
        <v>4087.1471861385394</v>
      </c>
      <c r="J15" s="26">
        <v>3176.8056138463739</v>
      </c>
      <c r="K15" s="26">
        <v>2722.6428949983533</v>
      </c>
    </row>
    <row r="16" spans="1:11" x14ac:dyDescent="0.25">
      <c r="A16" s="17" t="s">
        <v>22</v>
      </c>
      <c r="B16" s="26">
        <v>17730.006507387985</v>
      </c>
      <c r="C16" s="26">
        <v>2615.2641613117285</v>
      </c>
      <c r="D16" s="26">
        <v>179227.65794381007</v>
      </c>
      <c r="E16" s="26">
        <v>3413.977806029669</v>
      </c>
      <c r="F16" s="26">
        <v>15554.323845105469</v>
      </c>
      <c r="G16" s="26">
        <v>3913.9795566400767</v>
      </c>
      <c r="H16" s="26">
        <v>2663.7991368568369</v>
      </c>
      <c r="I16" s="26">
        <v>5773.4161621023668</v>
      </c>
      <c r="J16" s="26">
        <v>3334.6593089443309</v>
      </c>
      <c r="K16" s="26">
        <v>2323.3922895948476</v>
      </c>
    </row>
    <row r="17" spans="2:11" ht="14.25" customHeight="1" x14ac:dyDescent="0.25"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2:11" x14ac:dyDescent="0.25"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2:11" x14ac:dyDescent="0.25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2:11" x14ac:dyDescent="0.25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2:11" x14ac:dyDescent="0.25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2:11" x14ac:dyDescent="0.25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2:11" x14ac:dyDescent="0.25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2:11" x14ac:dyDescent="0.25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2:11" x14ac:dyDescent="0.25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2:11" x14ac:dyDescent="0.25"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2:11" x14ac:dyDescent="0.25"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2:11" x14ac:dyDescent="0.25"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2:11" x14ac:dyDescent="0.25"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2:11" x14ac:dyDescent="0.25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2:11" x14ac:dyDescent="0.25">
      <c r="B31" s="11"/>
    </row>
    <row r="32" spans="2:11" x14ac:dyDescent="0.25">
      <c r="B32" s="11"/>
    </row>
    <row r="33" spans="2:2" x14ac:dyDescent="0.25">
      <c r="B33" s="11"/>
    </row>
    <row r="34" spans="2:2" x14ac:dyDescent="0.25">
      <c r="B34" s="11"/>
    </row>
    <row r="54" spans="2:11" x14ac:dyDescent="0.25">
      <c r="B54" s="25" t="e">
        <f>B5/#REF!</f>
        <v>#REF!</v>
      </c>
      <c r="C54" s="25" t="e">
        <f>C5/#REF!</f>
        <v>#REF!</v>
      </c>
      <c r="D54" s="25" t="e">
        <f>D5/#REF!</f>
        <v>#REF!</v>
      </c>
      <c r="E54" s="25" t="e">
        <f>E5/#REF!</f>
        <v>#REF!</v>
      </c>
      <c r="F54" s="25" t="e">
        <f>F5/#REF!</f>
        <v>#REF!</v>
      </c>
      <c r="G54" s="25" t="e">
        <f>G5/#REF!</f>
        <v>#REF!</v>
      </c>
      <c r="H54" s="25" t="e">
        <f>H5/#REF!</f>
        <v>#REF!</v>
      </c>
      <c r="I54" s="25" t="e">
        <f>I5/#REF!</f>
        <v>#REF!</v>
      </c>
      <c r="J54" s="25" t="e">
        <f>J5/#REF!</f>
        <v>#REF!</v>
      </c>
      <c r="K54" s="25" t="e">
        <f>K5/#REF!</f>
        <v>#REF!</v>
      </c>
    </row>
    <row r="55" spans="2:11" x14ac:dyDescent="0.25">
      <c r="B55" s="25" t="e">
        <f>B6/#REF!</f>
        <v>#REF!</v>
      </c>
      <c r="C55" s="25" t="e">
        <f>C6/#REF!</f>
        <v>#REF!</v>
      </c>
      <c r="D55" s="25" t="e">
        <f>D6/#REF!</f>
        <v>#REF!</v>
      </c>
      <c r="E55" s="25" t="e">
        <f>E6/#REF!</f>
        <v>#REF!</v>
      </c>
      <c r="F55" s="25" t="e">
        <f>F6/#REF!</f>
        <v>#REF!</v>
      </c>
      <c r="G55" s="25" t="e">
        <f>G6/#REF!</f>
        <v>#REF!</v>
      </c>
      <c r="H55" s="25" t="e">
        <f>H6/#REF!</f>
        <v>#REF!</v>
      </c>
      <c r="I55" s="25" t="e">
        <f>I6/#REF!</f>
        <v>#REF!</v>
      </c>
      <c r="J55" s="25" t="e">
        <f>J6/#REF!</f>
        <v>#REF!</v>
      </c>
      <c r="K55" s="25" t="e">
        <f>K6/#REF!</f>
        <v>#REF!</v>
      </c>
    </row>
    <row r="56" spans="2:11" x14ac:dyDescent="0.25">
      <c r="B56" s="25" t="e">
        <f>B7/#REF!</f>
        <v>#REF!</v>
      </c>
      <c r="C56" s="25" t="e">
        <f>C7/#REF!</f>
        <v>#REF!</v>
      </c>
      <c r="D56" s="25" t="e">
        <f>D7/#REF!</f>
        <v>#REF!</v>
      </c>
      <c r="E56" s="25" t="e">
        <f>E7/#REF!</f>
        <v>#REF!</v>
      </c>
      <c r="F56" s="25" t="e">
        <f>F7/#REF!</f>
        <v>#REF!</v>
      </c>
      <c r="G56" s="25" t="e">
        <f>G7/#REF!</f>
        <v>#REF!</v>
      </c>
      <c r="H56" s="25" t="e">
        <f>H7/#REF!</f>
        <v>#REF!</v>
      </c>
      <c r="I56" s="25" t="e">
        <f>I7/#REF!</f>
        <v>#REF!</v>
      </c>
      <c r="J56" s="25" t="e">
        <f>J7/#REF!</f>
        <v>#REF!</v>
      </c>
      <c r="K56" s="25" t="e">
        <f>K7/#REF!</f>
        <v>#REF!</v>
      </c>
    </row>
    <row r="57" spans="2:11" x14ac:dyDescent="0.25">
      <c r="B57" s="25" t="e">
        <f>#REF!/#REF!</f>
        <v>#REF!</v>
      </c>
      <c r="C57" s="25" t="e">
        <f>#REF!/#REF!</f>
        <v>#REF!</v>
      </c>
      <c r="D57" s="25" t="e">
        <f>#REF!/#REF!</f>
        <v>#REF!</v>
      </c>
      <c r="E57" s="25" t="e">
        <f>#REF!/#REF!</f>
        <v>#REF!</v>
      </c>
      <c r="F57" s="25" t="e">
        <f>#REF!/#REF!</f>
        <v>#REF!</v>
      </c>
      <c r="G57" s="25" t="e">
        <f>#REF!/#REF!</f>
        <v>#REF!</v>
      </c>
      <c r="H57" s="25" t="e">
        <f>#REF!/#REF!</f>
        <v>#REF!</v>
      </c>
      <c r="I57" s="25" t="e">
        <f>#REF!/#REF!</f>
        <v>#REF!</v>
      </c>
      <c r="J57" s="25" t="e">
        <f>#REF!/#REF!</f>
        <v>#REF!</v>
      </c>
      <c r="K57" s="25" t="e">
        <f>#REF!/#REF!</f>
        <v>#REF!</v>
      </c>
    </row>
    <row r="58" spans="2:11" x14ac:dyDescent="0.25">
      <c r="B58" s="25" t="e">
        <f>B8/#REF!</f>
        <v>#REF!</v>
      </c>
      <c r="C58" s="25" t="e">
        <f>C8/#REF!</f>
        <v>#REF!</v>
      </c>
      <c r="D58" s="25" t="e">
        <f>D8/#REF!</f>
        <v>#REF!</v>
      </c>
      <c r="E58" s="25" t="e">
        <f>E8/#REF!</f>
        <v>#REF!</v>
      </c>
      <c r="F58" s="25" t="e">
        <f>F8/#REF!</f>
        <v>#REF!</v>
      </c>
      <c r="G58" s="25" t="e">
        <f>G8/#REF!</f>
        <v>#REF!</v>
      </c>
      <c r="H58" s="25" t="e">
        <f>H8/#REF!</f>
        <v>#REF!</v>
      </c>
      <c r="I58" s="25" t="e">
        <f>I8/#REF!</f>
        <v>#REF!</v>
      </c>
      <c r="J58" s="25" t="e">
        <f>J8/#REF!</f>
        <v>#REF!</v>
      </c>
      <c r="K58" s="25" t="e">
        <f>K8/#REF!</f>
        <v>#REF!</v>
      </c>
    </row>
    <row r="59" spans="2:11" x14ac:dyDescent="0.25">
      <c r="B59" s="25" t="e">
        <f>B9/#REF!</f>
        <v>#REF!</v>
      </c>
      <c r="C59" s="25" t="e">
        <f>C9/#REF!</f>
        <v>#REF!</v>
      </c>
      <c r="D59" s="25" t="e">
        <f>D9/#REF!</f>
        <v>#REF!</v>
      </c>
      <c r="E59" s="25" t="e">
        <f>E9/#REF!</f>
        <v>#REF!</v>
      </c>
      <c r="F59" s="25" t="e">
        <f>F9/#REF!</f>
        <v>#REF!</v>
      </c>
      <c r="G59" s="25" t="e">
        <f>G9/#REF!</f>
        <v>#REF!</v>
      </c>
      <c r="H59" s="25" t="e">
        <f>H9/#REF!</f>
        <v>#REF!</v>
      </c>
      <c r="I59" s="25" t="e">
        <f>I9/#REF!</f>
        <v>#REF!</v>
      </c>
      <c r="J59" s="25" t="e">
        <f>J9/#REF!</f>
        <v>#REF!</v>
      </c>
      <c r="K59" s="25" t="e">
        <f>K9/#REF!</f>
        <v>#REF!</v>
      </c>
    </row>
    <row r="60" spans="2:11" x14ac:dyDescent="0.25">
      <c r="B60" s="25" t="e">
        <f>B10/#REF!</f>
        <v>#REF!</v>
      </c>
      <c r="C60" s="25" t="e">
        <f>C10/#REF!</f>
        <v>#REF!</v>
      </c>
      <c r="D60" s="25" t="e">
        <f>D10/#REF!</f>
        <v>#REF!</v>
      </c>
      <c r="E60" s="25" t="e">
        <f>E10/#REF!</f>
        <v>#REF!</v>
      </c>
      <c r="F60" s="25" t="e">
        <f>F10/#REF!</f>
        <v>#REF!</v>
      </c>
      <c r="G60" s="25" t="e">
        <f>G10/#REF!</f>
        <v>#REF!</v>
      </c>
      <c r="H60" s="25" t="e">
        <f>H10/#REF!</f>
        <v>#REF!</v>
      </c>
      <c r="I60" s="25" t="e">
        <f>I10/#REF!</f>
        <v>#REF!</v>
      </c>
      <c r="J60" s="25" t="e">
        <f>J10/#REF!</f>
        <v>#REF!</v>
      </c>
      <c r="K60" s="25" t="e">
        <f>K10/#REF!</f>
        <v>#REF!</v>
      </c>
    </row>
    <row r="61" spans="2:11" x14ac:dyDescent="0.25">
      <c r="B61" s="25" t="e">
        <f>#REF!/#REF!</f>
        <v>#REF!</v>
      </c>
      <c r="C61" s="25" t="e">
        <f>#REF!/#REF!</f>
        <v>#REF!</v>
      </c>
      <c r="D61" s="25" t="e">
        <f>#REF!/#REF!</f>
        <v>#REF!</v>
      </c>
      <c r="E61" s="25" t="e">
        <f>#REF!/#REF!</f>
        <v>#REF!</v>
      </c>
      <c r="F61" s="25" t="e">
        <f>#REF!/#REF!</f>
        <v>#REF!</v>
      </c>
      <c r="G61" s="25" t="e">
        <f>#REF!/#REF!</f>
        <v>#REF!</v>
      </c>
      <c r="H61" s="25" t="e">
        <f>#REF!/#REF!</f>
        <v>#REF!</v>
      </c>
      <c r="I61" s="25" t="e">
        <f>#REF!/#REF!</f>
        <v>#REF!</v>
      </c>
      <c r="J61" s="25" t="e">
        <f>#REF!/#REF!</f>
        <v>#REF!</v>
      </c>
      <c r="K61" s="25" t="e">
        <f>#REF!/#REF!</f>
        <v>#REF!</v>
      </c>
    </row>
    <row r="62" spans="2:11" x14ac:dyDescent="0.25">
      <c r="B62" s="25" t="e">
        <f>B11/#REF!</f>
        <v>#REF!</v>
      </c>
      <c r="C62" s="25" t="e">
        <f>C11/#REF!</f>
        <v>#REF!</v>
      </c>
      <c r="D62" s="25" t="e">
        <f>D11/#REF!</f>
        <v>#REF!</v>
      </c>
      <c r="E62" s="25" t="e">
        <f>E11/#REF!</f>
        <v>#REF!</v>
      </c>
      <c r="F62" s="25" t="e">
        <f>F11/#REF!</f>
        <v>#REF!</v>
      </c>
      <c r="G62" s="25" t="e">
        <f>G11/#REF!</f>
        <v>#REF!</v>
      </c>
      <c r="H62" s="25" t="e">
        <f>H11/#REF!</f>
        <v>#REF!</v>
      </c>
      <c r="I62" s="25" t="e">
        <f>I11/#REF!</f>
        <v>#REF!</v>
      </c>
      <c r="J62" s="25" t="e">
        <f>J11/#REF!</f>
        <v>#REF!</v>
      </c>
      <c r="K62" s="25" t="e">
        <f>K11/#REF!</f>
        <v>#REF!</v>
      </c>
    </row>
    <row r="63" spans="2:11" x14ac:dyDescent="0.25">
      <c r="B63" s="25" t="e">
        <f>B12/#REF!</f>
        <v>#REF!</v>
      </c>
      <c r="C63" s="25" t="e">
        <f>C12/#REF!</f>
        <v>#REF!</v>
      </c>
      <c r="D63" s="25" t="e">
        <f>D12/#REF!</f>
        <v>#REF!</v>
      </c>
      <c r="E63" s="25" t="e">
        <f>E12/#REF!</f>
        <v>#REF!</v>
      </c>
      <c r="F63" s="25" t="e">
        <f>F12/#REF!</f>
        <v>#REF!</v>
      </c>
      <c r="G63" s="25" t="e">
        <f>G12/#REF!</f>
        <v>#REF!</v>
      </c>
      <c r="H63" s="25" t="e">
        <f>H12/#REF!</f>
        <v>#REF!</v>
      </c>
      <c r="I63" s="25" t="e">
        <f>I12/#REF!</f>
        <v>#REF!</v>
      </c>
      <c r="J63" s="25" t="e">
        <f>J12/#REF!</f>
        <v>#REF!</v>
      </c>
      <c r="K63" s="25" t="e">
        <f>K12/#REF!</f>
        <v>#REF!</v>
      </c>
    </row>
    <row r="64" spans="2:11" x14ac:dyDescent="0.25">
      <c r="B64" s="25" t="e">
        <f>B13/#REF!</f>
        <v>#REF!</v>
      </c>
      <c r="C64" s="25" t="e">
        <f>C13/#REF!</f>
        <v>#REF!</v>
      </c>
      <c r="D64" s="25" t="e">
        <f>D13/#REF!</f>
        <v>#REF!</v>
      </c>
      <c r="E64" s="25" t="e">
        <f>E13/#REF!</f>
        <v>#REF!</v>
      </c>
      <c r="F64" s="25" t="e">
        <f>F13/#REF!</f>
        <v>#REF!</v>
      </c>
      <c r="G64" s="25" t="e">
        <f>G13/#REF!</f>
        <v>#REF!</v>
      </c>
      <c r="H64" s="25" t="e">
        <f>H13/#REF!</f>
        <v>#REF!</v>
      </c>
      <c r="I64" s="25" t="e">
        <f>I13/#REF!</f>
        <v>#REF!</v>
      </c>
      <c r="J64" s="25" t="e">
        <f>J13/#REF!</f>
        <v>#REF!</v>
      </c>
      <c r="K64" s="25" t="e">
        <f>K13/#REF!</f>
        <v>#REF!</v>
      </c>
    </row>
    <row r="65" spans="2:11" x14ac:dyDescent="0.25">
      <c r="B65" s="25" t="e">
        <f>#REF!/#REF!</f>
        <v>#REF!</v>
      </c>
      <c r="C65" s="25" t="e">
        <f>#REF!/#REF!</f>
        <v>#REF!</v>
      </c>
      <c r="D65" s="25" t="e">
        <f>#REF!/#REF!</f>
        <v>#REF!</v>
      </c>
      <c r="E65" s="25" t="e">
        <f>#REF!/#REF!</f>
        <v>#REF!</v>
      </c>
      <c r="F65" s="25" t="e">
        <f>#REF!/#REF!</f>
        <v>#REF!</v>
      </c>
      <c r="G65" s="25" t="e">
        <f>#REF!/#REF!</f>
        <v>#REF!</v>
      </c>
      <c r="H65" s="25" t="e">
        <f>#REF!/#REF!</f>
        <v>#REF!</v>
      </c>
      <c r="I65" s="25" t="e">
        <f>#REF!/#REF!</f>
        <v>#REF!</v>
      </c>
      <c r="J65" s="25" t="e">
        <f>#REF!/#REF!</f>
        <v>#REF!</v>
      </c>
      <c r="K65" s="25" t="e">
        <f>#REF!/#REF!</f>
        <v>#REF!</v>
      </c>
    </row>
    <row r="66" spans="2:11" x14ac:dyDescent="0.25">
      <c r="B66" s="25" t="e">
        <f>B14/#REF!</f>
        <v>#REF!</v>
      </c>
      <c r="C66" s="25" t="e">
        <f>C14/#REF!</f>
        <v>#REF!</v>
      </c>
      <c r="D66" s="25" t="e">
        <f>D14/#REF!</f>
        <v>#REF!</v>
      </c>
      <c r="E66" s="25" t="e">
        <f>E14/#REF!</f>
        <v>#REF!</v>
      </c>
      <c r="F66" s="25" t="e">
        <f>F14/#REF!</f>
        <v>#REF!</v>
      </c>
      <c r="G66" s="25" t="e">
        <f>G14/#REF!</f>
        <v>#REF!</v>
      </c>
      <c r="H66" s="25" t="e">
        <f>H14/#REF!</f>
        <v>#REF!</v>
      </c>
      <c r="I66" s="25" t="e">
        <f>I14/#REF!</f>
        <v>#REF!</v>
      </c>
      <c r="J66" s="25" t="e">
        <f>J14/#REF!</f>
        <v>#REF!</v>
      </c>
      <c r="K66" s="25" t="e">
        <f>K14/#REF!</f>
        <v>#REF!</v>
      </c>
    </row>
    <row r="67" spans="2:11" x14ac:dyDescent="0.25">
      <c r="B67" s="25" t="e">
        <f>B15/#REF!</f>
        <v>#REF!</v>
      </c>
      <c r="C67" s="25" t="e">
        <f>C15/#REF!</f>
        <v>#REF!</v>
      </c>
      <c r="D67" s="25" t="e">
        <f>D15/#REF!</f>
        <v>#REF!</v>
      </c>
      <c r="E67" s="25" t="e">
        <f>E15/#REF!</f>
        <v>#REF!</v>
      </c>
      <c r="F67" s="25" t="e">
        <f>F15/#REF!</f>
        <v>#REF!</v>
      </c>
      <c r="G67" s="25" t="e">
        <f>G15/#REF!</f>
        <v>#REF!</v>
      </c>
      <c r="H67" s="25" t="e">
        <f>H15/#REF!</f>
        <v>#REF!</v>
      </c>
      <c r="I67" s="25" t="e">
        <f>I15/#REF!</f>
        <v>#REF!</v>
      </c>
      <c r="J67" s="25" t="e">
        <f>J15/#REF!</f>
        <v>#REF!</v>
      </c>
      <c r="K67" s="25" t="e">
        <f>K15/#REF!</f>
        <v>#REF!</v>
      </c>
    </row>
    <row r="68" spans="2:11" x14ac:dyDescent="0.25">
      <c r="B68" s="25" t="e">
        <f>B16/#REF!</f>
        <v>#REF!</v>
      </c>
      <c r="C68" s="25" t="e">
        <f>C16/#REF!</f>
        <v>#REF!</v>
      </c>
      <c r="D68" s="25" t="e">
        <f>D16/#REF!</f>
        <v>#REF!</v>
      </c>
      <c r="E68" s="25" t="e">
        <f>E16/#REF!</f>
        <v>#REF!</v>
      </c>
      <c r="F68" s="25" t="e">
        <f>F16/#REF!</f>
        <v>#REF!</v>
      </c>
      <c r="G68" s="25" t="e">
        <f>G16/#REF!</f>
        <v>#REF!</v>
      </c>
      <c r="H68" s="25" t="e">
        <f>H16/#REF!</f>
        <v>#REF!</v>
      </c>
      <c r="I68" s="25" t="e">
        <f>I16/#REF!</f>
        <v>#REF!</v>
      </c>
      <c r="J68" s="25" t="e">
        <f>J16/#REF!</f>
        <v>#REF!</v>
      </c>
      <c r="K68" s="25" t="e">
        <f>K16/#REF!</f>
        <v>#REF!</v>
      </c>
    </row>
    <row r="69" spans="2:11" x14ac:dyDescent="0.25">
      <c r="B69" s="25" t="e">
        <f>#REF!/#REF!</f>
        <v>#REF!</v>
      </c>
      <c r="C69" s="25" t="e">
        <f>#REF!/#REF!</f>
        <v>#REF!</v>
      </c>
      <c r="D69" s="25" t="e">
        <f>#REF!/#REF!</f>
        <v>#REF!</v>
      </c>
      <c r="E69" s="25" t="e">
        <f>#REF!/#REF!</f>
        <v>#REF!</v>
      </c>
      <c r="F69" s="25" t="e">
        <f>#REF!/#REF!</f>
        <v>#REF!</v>
      </c>
      <c r="G69" s="25" t="e">
        <f>#REF!/#REF!</f>
        <v>#REF!</v>
      </c>
      <c r="H69" s="25" t="e">
        <f>#REF!/#REF!</f>
        <v>#REF!</v>
      </c>
      <c r="I69" s="25" t="e">
        <f>#REF!/#REF!</f>
        <v>#REF!</v>
      </c>
      <c r="J69" s="25" t="e">
        <f>#REF!/#REF!</f>
        <v>#REF!</v>
      </c>
      <c r="K69" s="25" t="e">
        <f>#REF!/#REF!</f>
        <v>#REF!</v>
      </c>
    </row>
    <row r="70" spans="2:11" x14ac:dyDescent="0.25">
      <c r="B70" s="25" t="e">
        <f>#REF!/#REF!</f>
        <v>#REF!</v>
      </c>
      <c r="C70" s="25" t="e">
        <f>#REF!/#REF!</f>
        <v>#REF!</v>
      </c>
      <c r="D70" s="25" t="e">
        <f>#REF!/#REF!</f>
        <v>#REF!</v>
      </c>
      <c r="E70" s="25" t="e">
        <f>#REF!/#REF!</f>
        <v>#REF!</v>
      </c>
      <c r="F70" s="25" t="e">
        <f>#REF!/#REF!</f>
        <v>#REF!</v>
      </c>
      <c r="G70" s="25" t="e">
        <f>#REF!/#REF!</f>
        <v>#REF!</v>
      </c>
      <c r="H70" s="25" t="e">
        <f>#REF!/#REF!</f>
        <v>#REF!</v>
      </c>
      <c r="I70" s="25" t="e">
        <f>#REF!/#REF!</f>
        <v>#REF!</v>
      </c>
      <c r="J70" s="25" t="e">
        <f>#REF!/#REF!</f>
        <v>#REF!</v>
      </c>
      <c r="K70" s="25" t="e">
        <f>#REF!/#REF!</f>
        <v>#REF!</v>
      </c>
    </row>
    <row r="72" spans="2:11" x14ac:dyDescent="0.25">
      <c r="B72" s="12" t="e">
        <f>$B$93*$B$54</f>
        <v>#REF!</v>
      </c>
      <c r="C72" s="12" t="e">
        <f>C93*$C$54</f>
        <v>#REF!</v>
      </c>
      <c r="D72" s="12" t="e">
        <f>D93*$D$54</f>
        <v>#REF!</v>
      </c>
      <c r="E72" s="12" t="e">
        <f>E93*$E$54</f>
        <v>#REF!</v>
      </c>
      <c r="F72" s="12" t="e">
        <f>F93*$F$54</f>
        <v>#REF!</v>
      </c>
      <c r="G72" s="12" t="e">
        <f>G93*$G$54</f>
        <v>#REF!</v>
      </c>
      <c r="H72" s="12" t="e">
        <f>H93*$H$54</f>
        <v>#REF!</v>
      </c>
      <c r="I72" s="12" t="e">
        <f>I93*$I$54</f>
        <v>#REF!</v>
      </c>
      <c r="J72" s="12" t="e">
        <f>J93*$J$54</f>
        <v>#REF!</v>
      </c>
      <c r="K72" s="12" t="e">
        <f>K93*$K$54</f>
        <v>#REF!</v>
      </c>
    </row>
    <row r="73" spans="2:11" x14ac:dyDescent="0.25">
      <c r="B73" s="12" t="e">
        <f>$B$93*$B$55</f>
        <v>#REF!</v>
      </c>
      <c r="C73" s="12" t="e">
        <f>$C$93*$C$55</f>
        <v>#REF!</v>
      </c>
      <c r="D73" s="12" t="e">
        <f>$D$93*$D$55</f>
        <v>#REF!</v>
      </c>
      <c r="E73" s="12" t="e">
        <f>$E$93*$E$55</f>
        <v>#REF!</v>
      </c>
      <c r="F73" s="12" t="e">
        <f>$F$93*$F$55</f>
        <v>#REF!</v>
      </c>
      <c r="G73" s="12" t="e">
        <f>$G$93*$G$55</f>
        <v>#REF!</v>
      </c>
      <c r="H73" s="12" t="e">
        <f>$H$93*$H$55</f>
        <v>#REF!</v>
      </c>
      <c r="I73" s="12" t="e">
        <f>$I$93*$I$55</f>
        <v>#REF!</v>
      </c>
      <c r="J73" s="12" t="e">
        <f>$J$93*$J$55</f>
        <v>#REF!</v>
      </c>
      <c r="K73" s="12" t="e">
        <f>$K$93*$K$55</f>
        <v>#REF!</v>
      </c>
    </row>
    <row r="74" spans="2:11" x14ac:dyDescent="0.25">
      <c r="B74" s="12" t="e">
        <f>$B$93*$B$56</f>
        <v>#REF!</v>
      </c>
      <c r="C74" s="12" t="e">
        <f>$C$93*$C$56</f>
        <v>#REF!</v>
      </c>
      <c r="D74" s="12" t="e">
        <f>$D$93*$D$56</f>
        <v>#REF!</v>
      </c>
      <c r="E74" s="12" t="e">
        <f>$E$93*$E$56</f>
        <v>#REF!</v>
      </c>
      <c r="F74" s="12" t="e">
        <f>$F$93*$F$56</f>
        <v>#REF!</v>
      </c>
      <c r="G74" s="12" t="e">
        <f>$G$93*$G$56</f>
        <v>#REF!</v>
      </c>
      <c r="H74" s="12" t="e">
        <f>$H$93*$H$56</f>
        <v>#REF!</v>
      </c>
      <c r="I74" s="12" t="e">
        <f>$I$93*$I$56</f>
        <v>#REF!</v>
      </c>
      <c r="J74" s="12" t="e">
        <f>$J$93*$J$56</f>
        <v>#REF!</v>
      </c>
      <c r="K74" s="12" t="e">
        <f>$K$93*$K$56</f>
        <v>#REF!</v>
      </c>
    </row>
    <row r="75" spans="2:11" x14ac:dyDescent="0.25">
      <c r="B75" s="12" t="e">
        <f t="shared" ref="B75:K75" si="0">SUM(B72:B74)</f>
        <v>#REF!</v>
      </c>
      <c r="C75" s="12" t="e">
        <f t="shared" si="0"/>
        <v>#REF!</v>
      </c>
      <c r="D75" s="12" t="e">
        <f t="shared" si="0"/>
        <v>#REF!</v>
      </c>
      <c r="E75" s="12" t="e">
        <f t="shared" si="0"/>
        <v>#REF!</v>
      </c>
      <c r="F75" s="12" t="e">
        <f t="shared" si="0"/>
        <v>#REF!</v>
      </c>
      <c r="G75" s="12" t="e">
        <f t="shared" si="0"/>
        <v>#REF!</v>
      </c>
      <c r="H75" s="12" t="e">
        <f t="shared" si="0"/>
        <v>#REF!</v>
      </c>
      <c r="I75" s="12" t="e">
        <f t="shared" si="0"/>
        <v>#REF!</v>
      </c>
      <c r="J75" s="12" t="e">
        <f t="shared" si="0"/>
        <v>#REF!</v>
      </c>
      <c r="K75" s="12" t="e">
        <f t="shared" si="0"/>
        <v>#REF!</v>
      </c>
    </row>
    <row r="76" spans="2:11" x14ac:dyDescent="0.25">
      <c r="B76" s="12" t="e">
        <f>$B$93*$B$58</f>
        <v>#REF!</v>
      </c>
      <c r="C76" s="12" t="e">
        <f>$C$93*$C$58</f>
        <v>#REF!</v>
      </c>
      <c r="D76" s="12" t="e">
        <f>$D$93*$D$58</f>
        <v>#REF!</v>
      </c>
      <c r="E76" s="12" t="e">
        <f>$E$93*$E$58</f>
        <v>#REF!</v>
      </c>
      <c r="F76" s="12" t="e">
        <f>$F$93*$F$58</f>
        <v>#REF!</v>
      </c>
      <c r="G76" s="12" t="e">
        <f>$G$93*$G$58</f>
        <v>#REF!</v>
      </c>
      <c r="H76" s="12" t="e">
        <f>$H$93*$H$58</f>
        <v>#REF!</v>
      </c>
      <c r="I76" s="12" t="e">
        <f>$I$93*$I$58</f>
        <v>#REF!</v>
      </c>
      <c r="J76" s="12" t="e">
        <f>$J$93*$J$58</f>
        <v>#REF!</v>
      </c>
      <c r="K76" s="12" t="e">
        <f>$K$93*$K$58</f>
        <v>#REF!</v>
      </c>
    </row>
    <row r="77" spans="2:11" x14ac:dyDescent="0.25">
      <c r="B77" s="12" t="e">
        <f>$B$93*$B$59</f>
        <v>#REF!</v>
      </c>
      <c r="C77" s="12" t="e">
        <f>$C$93*$C$59</f>
        <v>#REF!</v>
      </c>
      <c r="D77" s="12" t="e">
        <f>$D$93*$D$59</f>
        <v>#REF!</v>
      </c>
      <c r="E77" s="12" t="e">
        <f>$E$93*$E$59</f>
        <v>#REF!</v>
      </c>
      <c r="F77" s="12" t="e">
        <f>$F$93*$F$59</f>
        <v>#REF!</v>
      </c>
      <c r="G77" s="12" t="e">
        <f>$G$93*$G$59</f>
        <v>#REF!</v>
      </c>
      <c r="H77" s="12" t="e">
        <f>$H$93*$H$59</f>
        <v>#REF!</v>
      </c>
      <c r="I77" s="12" t="e">
        <f>$I$93*$I$59</f>
        <v>#REF!</v>
      </c>
      <c r="J77" s="12" t="e">
        <f>$J$93*$J$59</f>
        <v>#REF!</v>
      </c>
      <c r="K77" s="12" t="e">
        <f>$K$93*$K$59</f>
        <v>#REF!</v>
      </c>
    </row>
    <row r="78" spans="2:11" x14ac:dyDescent="0.25">
      <c r="B78" s="12" t="e">
        <f>$B$93*$B$60</f>
        <v>#REF!</v>
      </c>
      <c r="C78" s="12" t="e">
        <f>$C$93*$C$60</f>
        <v>#REF!</v>
      </c>
      <c r="D78" s="12" t="e">
        <f>$D$93*$D$60</f>
        <v>#REF!</v>
      </c>
      <c r="E78" s="12" t="e">
        <f>$E$93*$E$60</f>
        <v>#REF!</v>
      </c>
      <c r="F78" s="12" t="e">
        <f>$F$93*$F$60</f>
        <v>#REF!</v>
      </c>
      <c r="G78" s="12" t="e">
        <f>$G$93*$G$60</f>
        <v>#REF!</v>
      </c>
      <c r="H78" s="12" t="e">
        <f>$H$93*$H$60</f>
        <v>#REF!</v>
      </c>
      <c r="I78" s="12" t="e">
        <f>$I$93*$I$60</f>
        <v>#REF!</v>
      </c>
      <c r="J78" s="12" t="e">
        <f>$J$93*$J$60</f>
        <v>#REF!</v>
      </c>
      <c r="K78" s="12" t="e">
        <f>$K$93*$K$60</f>
        <v>#REF!</v>
      </c>
    </row>
    <row r="79" spans="2:11" x14ac:dyDescent="0.25">
      <c r="B79" s="12" t="e">
        <f t="shared" ref="B79:K79" si="1">SUM(B76:B78)</f>
        <v>#REF!</v>
      </c>
      <c r="C79" s="12" t="e">
        <f t="shared" si="1"/>
        <v>#REF!</v>
      </c>
      <c r="D79" s="12" t="e">
        <f t="shared" si="1"/>
        <v>#REF!</v>
      </c>
      <c r="E79" s="12" t="e">
        <f t="shared" si="1"/>
        <v>#REF!</v>
      </c>
      <c r="F79" s="12" t="e">
        <f t="shared" si="1"/>
        <v>#REF!</v>
      </c>
      <c r="G79" s="12" t="e">
        <f t="shared" si="1"/>
        <v>#REF!</v>
      </c>
      <c r="H79" s="12" t="e">
        <f t="shared" si="1"/>
        <v>#REF!</v>
      </c>
      <c r="I79" s="12" t="e">
        <f t="shared" si="1"/>
        <v>#REF!</v>
      </c>
      <c r="J79" s="12" t="e">
        <f t="shared" si="1"/>
        <v>#REF!</v>
      </c>
      <c r="K79" s="12" t="e">
        <f t="shared" si="1"/>
        <v>#REF!</v>
      </c>
    </row>
    <row r="80" spans="2:11" x14ac:dyDescent="0.25">
      <c r="B80" s="12" t="e">
        <f>$B$93*$B$62</f>
        <v>#REF!</v>
      </c>
      <c r="C80" s="12" t="e">
        <f>$C$93*$C$62</f>
        <v>#REF!</v>
      </c>
      <c r="D80" s="12" t="e">
        <f>$D$93*$D$62</f>
        <v>#REF!</v>
      </c>
      <c r="E80" s="12" t="e">
        <f>$E$93*$E$62</f>
        <v>#REF!</v>
      </c>
      <c r="F80" s="12" t="e">
        <f>$F$93*$F$62</f>
        <v>#REF!</v>
      </c>
      <c r="G80" s="12" t="e">
        <f>$G$93*$G$62</f>
        <v>#REF!</v>
      </c>
      <c r="H80" s="12" t="e">
        <f>$H$93*$H$62</f>
        <v>#REF!</v>
      </c>
      <c r="I80" s="12" t="e">
        <f>$I$93*$I$62</f>
        <v>#REF!</v>
      </c>
      <c r="J80" s="12" t="e">
        <f>$J$93*$J$62</f>
        <v>#REF!</v>
      </c>
      <c r="K80" s="12" t="e">
        <f>$K$93*$K$62</f>
        <v>#REF!</v>
      </c>
    </row>
    <row r="81" spans="2:11" x14ac:dyDescent="0.25">
      <c r="B81" s="12" t="e">
        <f>$B$93*$B$63</f>
        <v>#REF!</v>
      </c>
      <c r="C81" s="12" t="e">
        <f>$C$93*$C$63</f>
        <v>#REF!</v>
      </c>
      <c r="D81" s="12" t="e">
        <f>$D$93*$D$63</f>
        <v>#REF!</v>
      </c>
      <c r="E81" s="12" t="e">
        <f>$E$93*$E$63</f>
        <v>#REF!</v>
      </c>
      <c r="F81" s="12" t="e">
        <f>$F$93*$F$63</f>
        <v>#REF!</v>
      </c>
      <c r="G81" s="12" t="e">
        <f>$G$93*$G$63</f>
        <v>#REF!</v>
      </c>
      <c r="H81" s="12" t="e">
        <f>$H$93*$H$63</f>
        <v>#REF!</v>
      </c>
      <c r="I81" s="12" t="e">
        <f>$I$93*$I$63</f>
        <v>#REF!</v>
      </c>
      <c r="J81" s="12" t="e">
        <f>$J$93*$J$63</f>
        <v>#REF!</v>
      </c>
      <c r="K81" s="12" t="e">
        <f>$K$93*$K$63</f>
        <v>#REF!</v>
      </c>
    </row>
    <row r="82" spans="2:11" x14ac:dyDescent="0.25">
      <c r="B82" s="12" t="e">
        <f>$B$93*$B$64</f>
        <v>#REF!</v>
      </c>
      <c r="C82" s="12" t="e">
        <f>$C$93*$C$64</f>
        <v>#REF!</v>
      </c>
      <c r="D82" s="12" t="e">
        <f>$D$93*$D$64</f>
        <v>#REF!</v>
      </c>
      <c r="E82" s="12" t="e">
        <f>$E$93*$E$64</f>
        <v>#REF!</v>
      </c>
      <c r="F82" s="12" t="e">
        <f>$F$93*$F$64</f>
        <v>#REF!</v>
      </c>
      <c r="G82" s="12" t="e">
        <f>$G$93*$G$64</f>
        <v>#REF!</v>
      </c>
      <c r="H82" s="12" t="e">
        <f>$H$93*$H$64</f>
        <v>#REF!</v>
      </c>
      <c r="I82" s="12" t="e">
        <f>$I$93*$I$64</f>
        <v>#REF!</v>
      </c>
      <c r="J82" s="12" t="e">
        <f>$J$93*$J$64</f>
        <v>#REF!</v>
      </c>
      <c r="K82" s="12" t="e">
        <f>$K$93*$K$64</f>
        <v>#REF!</v>
      </c>
    </row>
    <row r="83" spans="2:11" x14ac:dyDescent="0.25">
      <c r="B83" s="12" t="e">
        <f t="shared" ref="B83:K83" si="2">SUM(B80:B82)</f>
        <v>#REF!</v>
      </c>
      <c r="C83" s="12" t="e">
        <f t="shared" si="2"/>
        <v>#REF!</v>
      </c>
      <c r="D83" s="12" t="e">
        <f t="shared" si="2"/>
        <v>#REF!</v>
      </c>
      <c r="E83" s="12" t="e">
        <f t="shared" si="2"/>
        <v>#REF!</v>
      </c>
      <c r="F83" s="12" t="e">
        <f t="shared" si="2"/>
        <v>#REF!</v>
      </c>
      <c r="G83" s="12" t="e">
        <f t="shared" si="2"/>
        <v>#REF!</v>
      </c>
      <c r="H83" s="12" t="e">
        <f t="shared" si="2"/>
        <v>#REF!</v>
      </c>
      <c r="I83" s="12" t="e">
        <f t="shared" si="2"/>
        <v>#REF!</v>
      </c>
      <c r="J83" s="12" t="e">
        <f t="shared" si="2"/>
        <v>#REF!</v>
      </c>
      <c r="K83" s="12" t="e">
        <f t="shared" si="2"/>
        <v>#REF!</v>
      </c>
    </row>
    <row r="84" spans="2:11" x14ac:dyDescent="0.25">
      <c r="B84" s="12" t="e">
        <f>$B$93*$B$66</f>
        <v>#REF!</v>
      </c>
      <c r="C84" s="12" t="e">
        <f>$C$93*$C$66</f>
        <v>#REF!</v>
      </c>
      <c r="D84" s="12" t="e">
        <f>$D$93*$D$66</f>
        <v>#REF!</v>
      </c>
      <c r="E84" s="12" t="e">
        <f>$E$93*$E$66</f>
        <v>#REF!</v>
      </c>
      <c r="F84" s="12" t="e">
        <f>$F$93*$F$66</f>
        <v>#REF!</v>
      </c>
      <c r="G84" s="12" t="e">
        <f>$G$93*$G$66</f>
        <v>#REF!</v>
      </c>
      <c r="H84" s="12" t="e">
        <f>$H$93*$H$66</f>
        <v>#REF!</v>
      </c>
      <c r="I84" s="12" t="e">
        <f>$I$93*$I$66</f>
        <v>#REF!</v>
      </c>
      <c r="J84" s="12" t="e">
        <f>$J$93*$J$66</f>
        <v>#REF!</v>
      </c>
      <c r="K84" s="12" t="e">
        <f>$K$93*$K$66</f>
        <v>#REF!</v>
      </c>
    </row>
    <row r="85" spans="2:11" x14ac:dyDescent="0.25">
      <c r="B85" s="12" t="e">
        <f>$B$93*$B$67</f>
        <v>#REF!</v>
      </c>
      <c r="C85" s="12" t="e">
        <f>$C$93*$C$67</f>
        <v>#REF!</v>
      </c>
      <c r="D85" s="12" t="e">
        <f>$D$93*$D$67</f>
        <v>#REF!</v>
      </c>
      <c r="E85" s="12" t="e">
        <f>$E$93*$E$67</f>
        <v>#REF!</v>
      </c>
      <c r="F85" s="12" t="e">
        <f>$F$93*$F$67</f>
        <v>#REF!</v>
      </c>
      <c r="G85" s="12" t="e">
        <f>$G$93*$G$67</f>
        <v>#REF!</v>
      </c>
      <c r="H85" s="12" t="e">
        <f>$H$93*$H$67</f>
        <v>#REF!</v>
      </c>
      <c r="I85" s="12" t="e">
        <f>$I$93*$I$67</f>
        <v>#REF!</v>
      </c>
      <c r="J85" s="12" t="e">
        <f>$J$93*$J$67</f>
        <v>#REF!</v>
      </c>
      <c r="K85" s="12" t="e">
        <f>$K$93*$K$67</f>
        <v>#REF!</v>
      </c>
    </row>
    <row r="86" spans="2:11" x14ac:dyDescent="0.25">
      <c r="B86" s="12" t="e">
        <f>$B$93*$B$68</f>
        <v>#REF!</v>
      </c>
      <c r="C86" s="12" t="e">
        <f>$C$93*$C$68</f>
        <v>#REF!</v>
      </c>
      <c r="D86" s="12" t="e">
        <f>$D$93*$D$68</f>
        <v>#REF!</v>
      </c>
      <c r="E86" s="12" t="e">
        <f>$E$93*$E$68</f>
        <v>#REF!</v>
      </c>
      <c r="F86" s="12" t="e">
        <f>$F$93*$F$68</f>
        <v>#REF!</v>
      </c>
      <c r="G86" s="12" t="e">
        <f>$G$93*$G$68</f>
        <v>#REF!</v>
      </c>
      <c r="H86" s="12" t="e">
        <f>$H$93*$H$68</f>
        <v>#REF!</v>
      </c>
      <c r="I86" s="12" t="e">
        <f>$I$93*$I$68</f>
        <v>#REF!</v>
      </c>
      <c r="J86" s="12" t="e">
        <f>$J$93*$J$68</f>
        <v>#REF!</v>
      </c>
      <c r="K86" s="12" t="e">
        <f>$K$93*$K$68</f>
        <v>#REF!</v>
      </c>
    </row>
    <row r="87" spans="2:11" x14ac:dyDescent="0.25">
      <c r="B87" s="12" t="e">
        <f t="shared" ref="B87:K87" si="3">SUM(B84:B86)</f>
        <v>#REF!</v>
      </c>
      <c r="C87" s="12" t="e">
        <f t="shared" si="3"/>
        <v>#REF!</v>
      </c>
      <c r="D87" s="12" t="e">
        <f t="shared" si="3"/>
        <v>#REF!</v>
      </c>
      <c r="E87" s="12" t="e">
        <f t="shared" si="3"/>
        <v>#REF!</v>
      </c>
      <c r="F87" s="12" t="e">
        <f t="shared" si="3"/>
        <v>#REF!</v>
      </c>
      <c r="G87" s="12" t="e">
        <f t="shared" si="3"/>
        <v>#REF!</v>
      </c>
      <c r="H87" s="12" t="e">
        <f t="shared" si="3"/>
        <v>#REF!</v>
      </c>
      <c r="I87" s="12" t="e">
        <f t="shared" si="3"/>
        <v>#REF!</v>
      </c>
      <c r="J87" s="12" t="e">
        <f t="shared" si="3"/>
        <v>#REF!</v>
      </c>
      <c r="K87" s="12" t="e">
        <f t="shared" si="3"/>
        <v>#REF!</v>
      </c>
    </row>
    <row r="88" spans="2:11" x14ac:dyDescent="0.25">
      <c r="B88" s="12" t="e">
        <f>B75+B79+B83+B87</f>
        <v>#REF!</v>
      </c>
      <c r="C88" s="12" t="e">
        <f t="shared" ref="C88:K88" si="4">C75+C79+C83+C87</f>
        <v>#REF!</v>
      </c>
      <c r="D88" s="12" t="e">
        <f>D75+D79+D83+D87</f>
        <v>#REF!</v>
      </c>
      <c r="E88" s="12" t="e">
        <f t="shared" si="4"/>
        <v>#REF!</v>
      </c>
      <c r="F88" s="12" t="e">
        <f t="shared" si="4"/>
        <v>#REF!</v>
      </c>
      <c r="G88" s="12" t="e">
        <f t="shared" si="4"/>
        <v>#REF!</v>
      </c>
      <c r="H88" s="12" t="e">
        <f t="shared" si="4"/>
        <v>#REF!</v>
      </c>
      <c r="I88" s="12" t="e">
        <f t="shared" si="4"/>
        <v>#REF!</v>
      </c>
      <c r="J88" s="12" t="e">
        <f t="shared" si="4"/>
        <v>#REF!</v>
      </c>
      <c r="K88" s="12" t="e">
        <f t="shared" si="4"/>
        <v>#REF!</v>
      </c>
    </row>
    <row r="89" spans="2:11" x14ac:dyDescent="0.25"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3" spans="2:11" x14ac:dyDescent="0.25">
      <c r="B93" s="11">
        <v>300000.00041149568</v>
      </c>
      <c r="C93" s="11">
        <v>25000.000034291308</v>
      </c>
      <c r="D93" s="11">
        <v>1750000.0024003913</v>
      </c>
      <c r="E93" s="11">
        <v>25000.000034291308</v>
      </c>
      <c r="F93" s="11">
        <v>250000.00034291309</v>
      </c>
      <c r="G93" s="11">
        <v>25000.000034291308</v>
      </c>
      <c r="H93" s="11">
        <v>25000.000034291308</v>
      </c>
      <c r="I93" s="11">
        <v>50000.000068582616</v>
      </c>
      <c r="J93" s="11">
        <v>25000.000034291308</v>
      </c>
      <c r="K93" s="11">
        <v>25000.000034291308</v>
      </c>
    </row>
    <row r="96" spans="2:11" x14ac:dyDescent="0.25">
      <c r="B96" s="25">
        <v>0.12</v>
      </c>
      <c r="C96" s="24">
        <v>0.01</v>
      </c>
      <c r="D96" s="25">
        <v>0.7</v>
      </c>
      <c r="E96" s="25">
        <v>0.01</v>
      </c>
      <c r="F96" s="25">
        <v>0.1</v>
      </c>
      <c r="G96" s="25">
        <v>0.01</v>
      </c>
      <c r="H96" s="25">
        <v>0.01</v>
      </c>
      <c r="I96" s="25">
        <v>0.02</v>
      </c>
      <c r="J96" s="27">
        <v>0.01</v>
      </c>
      <c r="K96" s="27">
        <v>0.01</v>
      </c>
    </row>
    <row r="98" spans="2:11" x14ac:dyDescent="0.25">
      <c r="B98" s="19" t="e">
        <f>#REF!*$B$96</f>
        <v>#REF!</v>
      </c>
      <c r="C98" s="19" t="e">
        <f>#REF!*$C$96</f>
        <v>#REF!</v>
      </c>
      <c r="D98" s="19" t="e">
        <f>#REF!*$D$96</f>
        <v>#REF!</v>
      </c>
      <c r="E98" s="19" t="e">
        <f>#REF!*$E$96</f>
        <v>#REF!</v>
      </c>
      <c r="F98" s="19" t="e">
        <f>#REF!*$F$96</f>
        <v>#REF!</v>
      </c>
      <c r="G98" s="19" t="e">
        <f>#REF!*$G$96</f>
        <v>#REF!</v>
      </c>
      <c r="H98" s="19" t="e">
        <f>#REF!*$H$96</f>
        <v>#REF!</v>
      </c>
      <c r="I98" s="19" t="e">
        <f>#REF!*$I$96</f>
        <v>#REF!</v>
      </c>
      <c r="J98" s="19" t="e">
        <f>#REF!*$J$96</f>
        <v>#REF!</v>
      </c>
      <c r="K98" s="19" t="e">
        <f>#REF!*$K$96</f>
        <v>#REF!</v>
      </c>
    </row>
  </sheetData>
  <mergeCells count="3">
    <mergeCell ref="A1:K1"/>
    <mergeCell ref="A2:K2"/>
    <mergeCell ref="A3:K3"/>
  </mergeCells>
  <printOptions horizontalCentered="1" verticalCentered="1"/>
  <pageMargins left="0" right="0" top="0" bottom="0" header="0" footer="0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zoomScale="85" zoomScaleNormal="85" zoomScaleSheetLayoutView="70" workbookViewId="0">
      <selection sqref="A1:XFD1048576"/>
    </sheetView>
  </sheetViews>
  <sheetFormatPr defaultColWidth="14" defaultRowHeight="23.25" customHeight="1" x14ac:dyDescent="0.25"/>
  <cols>
    <col min="1" max="1" width="17.42578125" customWidth="1"/>
    <col min="2" max="2" width="18" customWidth="1"/>
    <col min="3" max="3" width="16.28515625" customWidth="1"/>
    <col min="4" max="4" width="16.42578125" customWidth="1"/>
    <col min="5" max="5" width="13.5703125" bestFit="1" customWidth="1"/>
    <col min="6" max="6" width="14.28515625" bestFit="1" customWidth="1"/>
    <col min="7" max="9" width="13.7109375" customWidth="1"/>
    <col min="10" max="10" width="13.5703125" bestFit="1" customWidth="1"/>
    <col min="11" max="11" width="12.85546875" customWidth="1"/>
  </cols>
  <sheetData>
    <row r="1" spans="1:12" ht="23.25" customHeight="1" x14ac:dyDescent="0.25">
      <c r="A1" s="28" t="s">
        <v>23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2" ht="23.25" customHeight="1" x14ac:dyDescent="0.25">
      <c r="A2" s="28" t="s">
        <v>24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2" ht="23.25" customHeight="1" x14ac:dyDescent="0.25">
      <c r="A3" s="29" t="s">
        <v>25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2" ht="30" x14ac:dyDescent="0.25">
      <c r="A4" s="14" t="s">
        <v>3</v>
      </c>
      <c r="B4" s="15" t="s">
        <v>26</v>
      </c>
      <c r="C4" s="15" t="s">
        <v>27</v>
      </c>
      <c r="D4" s="15" t="s">
        <v>28</v>
      </c>
      <c r="E4" s="15" t="s">
        <v>29</v>
      </c>
      <c r="F4" s="15" t="s">
        <v>30</v>
      </c>
      <c r="G4" s="15" t="s">
        <v>31</v>
      </c>
      <c r="H4" s="16" t="s">
        <v>32</v>
      </c>
      <c r="I4" s="16" t="s">
        <v>33</v>
      </c>
      <c r="J4" s="15" t="s">
        <v>34</v>
      </c>
      <c r="K4" s="15" t="s">
        <v>35</v>
      </c>
    </row>
    <row r="5" spans="1:12" ht="15" x14ac:dyDescent="0.25">
      <c r="A5" s="17" t="s">
        <v>36</v>
      </c>
      <c r="B5" s="18">
        <v>17231.799750267855</v>
      </c>
      <c r="C5" s="18">
        <v>2574.4390445686881</v>
      </c>
      <c r="D5" s="18">
        <v>116998.57931216458</v>
      </c>
      <c r="E5" s="18">
        <v>1585.7597445767501</v>
      </c>
      <c r="F5" s="18">
        <v>22421.523372283671</v>
      </c>
      <c r="G5" s="18">
        <v>2783.8695251640465</v>
      </c>
      <c r="H5" s="18">
        <v>4003.9535332893088</v>
      </c>
      <c r="I5" s="18">
        <v>3112.1271920681179</v>
      </c>
      <c r="J5" s="18">
        <v>2716.8847661333148</v>
      </c>
      <c r="K5" s="18">
        <v>1399.4278456278419</v>
      </c>
      <c r="L5" s="19"/>
    </row>
    <row r="6" spans="1:12" ht="15" x14ac:dyDescent="0.25">
      <c r="A6" s="17" t="s">
        <v>12</v>
      </c>
      <c r="B6" s="18">
        <v>15771.601389567239</v>
      </c>
      <c r="C6" s="18">
        <v>3233.5125033687918</v>
      </c>
      <c r="D6" s="18">
        <v>131909.45112971403</v>
      </c>
      <c r="E6" s="18">
        <v>1303.3765125831053</v>
      </c>
      <c r="F6" s="18">
        <v>21121.037670417514</v>
      </c>
      <c r="G6" s="18">
        <v>1958.1804695388375</v>
      </c>
      <c r="H6" s="18">
        <v>2303.0259044859563</v>
      </c>
      <c r="I6" s="18">
        <v>4086.9762473063793</v>
      </c>
      <c r="J6" s="18">
        <v>2171.8639925264283</v>
      </c>
      <c r="K6" s="18">
        <v>1953.6137173861578</v>
      </c>
    </row>
    <row r="7" spans="1:12" ht="15" x14ac:dyDescent="0.25">
      <c r="A7" s="17" t="s">
        <v>13</v>
      </c>
      <c r="B7" s="18">
        <v>18669.71680854704</v>
      </c>
      <c r="C7" s="18">
        <v>2551.6878572098926</v>
      </c>
      <c r="D7" s="18">
        <v>142237.23122167939</v>
      </c>
      <c r="E7" s="18">
        <v>2057.7495805087106</v>
      </c>
      <c r="F7" s="18">
        <v>16162.341954311603</v>
      </c>
      <c r="G7" s="18">
        <v>1885.576052371367</v>
      </c>
      <c r="H7" s="18">
        <v>2410.4251844108412</v>
      </c>
      <c r="I7" s="18">
        <v>3589.6596865544725</v>
      </c>
      <c r="J7" s="18">
        <v>1890.1239585061558</v>
      </c>
      <c r="K7" s="18">
        <v>1276.3765098411418</v>
      </c>
    </row>
    <row r="8" spans="1:12" ht="15" x14ac:dyDescent="0.25">
      <c r="A8" s="17" t="s">
        <v>14</v>
      </c>
      <c r="B8" s="18">
        <v>23892.409921725874</v>
      </c>
      <c r="C8" s="20">
        <v>2629.2836255954844</v>
      </c>
      <c r="D8" s="18">
        <v>145681.70054558967</v>
      </c>
      <c r="E8" s="18">
        <v>1665.5386372647149</v>
      </c>
      <c r="F8" s="18">
        <v>19396.750385812866</v>
      </c>
      <c r="G8" s="18">
        <v>2991.0651922516431</v>
      </c>
      <c r="H8" s="18">
        <v>3038.2349380222017</v>
      </c>
      <c r="I8" s="18">
        <v>4253.113493131842</v>
      </c>
      <c r="J8" s="18">
        <v>2561.1278446633733</v>
      </c>
      <c r="K8" s="18">
        <v>1538.8205660663332</v>
      </c>
    </row>
    <row r="9" spans="1:12" ht="15" x14ac:dyDescent="0.25">
      <c r="A9" s="17" t="s">
        <v>15</v>
      </c>
      <c r="B9" s="21">
        <v>37137.971555548516</v>
      </c>
      <c r="C9" s="20">
        <v>2769.2816350586222</v>
      </c>
      <c r="D9" s="21">
        <v>155180.63991180414</v>
      </c>
      <c r="E9" s="21">
        <v>2472.1188252105808</v>
      </c>
      <c r="F9" s="21">
        <v>16190.948708565951</v>
      </c>
      <c r="G9" s="21">
        <v>1058.8939852541253</v>
      </c>
      <c r="H9" s="21">
        <v>3280.7064990894773</v>
      </c>
      <c r="I9" s="21">
        <v>3229.8755251907833</v>
      </c>
      <c r="J9" s="21">
        <v>2261.7028184869041</v>
      </c>
      <c r="K9" s="21">
        <v>3222.5245379023363</v>
      </c>
    </row>
    <row r="10" spans="1:12" ht="15" x14ac:dyDescent="0.25">
      <c r="A10" s="17" t="s">
        <v>16</v>
      </c>
      <c r="B10" s="21">
        <v>43832.555860707696</v>
      </c>
      <c r="C10" s="20">
        <v>2108.1250206659784</v>
      </c>
      <c r="D10" s="21">
        <v>160037.94029789412</v>
      </c>
      <c r="E10" s="21">
        <v>2922.4637837428363</v>
      </c>
      <c r="F10" s="21">
        <v>25968.033630282662</v>
      </c>
      <c r="G10" s="21">
        <v>2823.4754065962748</v>
      </c>
      <c r="H10" s="21">
        <v>2303.0259044859563</v>
      </c>
      <c r="I10" s="21">
        <v>5802.7752672934266</v>
      </c>
      <c r="J10" s="21">
        <v>1843.0550033565876</v>
      </c>
      <c r="K10" s="21">
        <v>2473.4529380893528</v>
      </c>
    </row>
    <row r="11" spans="1:12" ht="15" x14ac:dyDescent="0.25">
      <c r="A11" s="17" t="s">
        <v>17</v>
      </c>
      <c r="B11" s="18">
        <v>21812.337562089004</v>
      </c>
      <c r="C11" s="20">
        <v>1840.7132522475381</v>
      </c>
      <c r="D11" s="21">
        <v>154337.45486416403</v>
      </c>
      <c r="E11" s="21">
        <v>1616.3850392746253</v>
      </c>
      <c r="F11" s="21">
        <v>24189.604076782642</v>
      </c>
      <c r="G11" s="21">
        <v>1498.1106067301373</v>
      </c>
      <c r="H11" s="21">
        <v>1217.9554377431091</v>
      </c>
      <c r="I11" s="21">
        <v>4892.4096150682208</v>
      </c>
      <c r="J11" s="21">
        <v>1774.0702396623781</v>
      </c>
      <c r="K11" s="21">
        <v>2616.5106785415151</v>
      </c>
    </row>
    <row r="12" spans="1:12" ht="15" x14ac:dyDescent="0.25">
      <c r="A12" s="17" t="s">
        <v>18</v>
      </c>
      <c r="B12" s="18">
        <v>19734.9692115174</v>
      </c>
      <c r="C12" s="22">
        <v>1411.2845908502754</v>
      </c>
      <c r="D12" s="21">
        <v>129415.78876810637</v>
      </c>
      <c r="E12" s="21">
        <v>1286.3569554267417</v>
      </c>
      <c r="F12" s="21">
        <v>19053.540587519688</v>
      </c>
      <c r="G12" s="21">
        <v>2014.0946550902181</v>
      </c>
      <c r="H12" s="21">
        <v>1470.1875763263322</v>
      </c>
      <c r="I12" s="21">
        <v>3770.1175199374343</v>
      </c>
      <c r="J12" s="21">
        <v>1602.7769699430676</v>
      </c>
      <c r="K12" s="21">
        <v>1554.6604216636222</v>
      </c>
    </row>
    <row r="13" spans="1:12" ht="15" x14ac:dyDescent="0.25">
      <c r="A13" s="17" t="s">
        <v>19</v>
      </c>
      <c r="B13" s="18">
        <v>21982.362171705023</v>
      </c>
      <c r="C13" s="20">
        <v>1272.1824093893904</v>
      </c>
      <c r="D13" s="21">
        <v>153504.89356816706</v>
      </c>
      <c r="E13" s="21">
        <v>2193.8745117209578</v>
      </c>
      <c r="F13" s="21">
        <v>33284.753411748468</v>
      </c>
      <c r="G13" s="21">
        <v>2192.069049387268</v>
      </c>
      <c r="H13" s="21">
        <v>841.52641812201307</v>
      </c>
      <c r="I13" s="21">
        <v>5776.2358390962845</v>
      </c>
      <c r="J13" s="21">
        <v>1643.5886284977528</v>
      </c>
      <c r="K13" s="21">
        <v>1443.3583062331447</v>
      </c>
    </row>
    <row r="14" spans="1:12" ht="15" x14ac:dyDescent="0.25">
      <c r="A14" s="17" t="s">
        <v>20</v>
      </c>
      <c r="B14" s="23">
        <v>21745.420030815498</v>
      </c>
      <c r="C14" s="20">
        <v>1312.2102796487713</v>
      </c>
      <c r="D14" s="18">
        <v>156450.53185662089</v>
      </c>
      <c r="E14" s="18">
        <v>1900.0968686117803</v>
      </c>
      <c r="F14" s="18">
        <v>14211.547062736721</v>
      </c>
      <c r="G14" s="18">
        <v>2382.8456533815997</v>
      </c>
      <c r="H14" s="18">
        <v>1198.5518800306816</v>
      </c>
      <c r="I14" s="18">
        <v>2647.059864377884</v>
      </c>
      <c r="J14" s="18">
        <v>1895.1380597970888</v>
      </c>
      <c r="K14" s="18">
        <v>2366.2713256351972</v>
      </c>
    </row>
    <row r="15" spans="1:12" ht="15" x14ac:dyDescent="0.25">
      <c r="A15" s="17" t="s">
        <v>21</v>
      </c>
      <c r="B15" s="18">
        <v>25741.175723723103</v>
      </c>
      <c r="C15" s="20">
        <v>1769.6157917513026</v>
      </c>
      <c r="D15" s="18">
        <v>157733.74487246046</v>
      </c>
      <c r="E15" s="18">
        <v>3801.7024833594114</v>
      </c>
      <c r="F15" s="18">
        <v>19692.297002298925</v>
      </c>
      <c r="G15" s="18">
        <v>1669.4661975052918</v>
      </c>
      <c r="H15" s="18">
        <v>1170.7989126359366</v>
      </c>
      <c r="I15" s="18">
        <v>3658.0010179319243</v>
      </c>
      <c r="J15" s="18">
        <v>1746.4989703997662</v>
      </c>
      <c r="K15" s="18">
        <v>1950.5547635003832</v>
      </c>
    </row>
    <row r="16" spans="1:12" ht="15" x14ac:dyDescent="0.25">
      <c r="A16" s="17" t="s">
        <v>22</v>
      </c>
      <c r="B16" s="18">
        <v>32447.680425281382</v>
      </c>
      <c r="C16" s="20">
        <v>1527.6640239365631</v>
      </c>
      <c r="D16" s="18">
        <v>146512.04605202656</v>
      </c>
      <c r="E16" s="18">
        <v>2194.5770920110854</v>
      </c>
      <c r="F16" s="18">
        <v>18307.622480152324</v>
      </c>
      <c r="G16" s="18">
        <v>1742.3532410204939</v>
      </c>
      <c r="H16" s="18">
        <v>1761.6078456494909</v>
      </c>
      <c r="I16" s="18">
        <v>5181.6488006258287</v>
      </c>
      <c r="J16" s="18">
        <v>2893.168782318483</v>
      </c>
      <c r="K16" s="18">
        <v>3204.4284238042715</v>
      </c>
    </row>
  </sheetData>
  <mergeCells count="3">
    <mergeCell ref="A1:K1"/>
    <mergeCell ref="A2:K2"/>
    <mergeCell ref="A3:K3"/>
  </mergeCells>
  <printOptions horizontalCentered="1" verticalCentered="1"/>
  <pageMargins left="0" right="0" top="0" bottom="0" header="0" footer="0"/>
  <pageSetup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23"/>
  <sheetViews>
    <sheetView zoomScaleNormal="100" zoomScaleSheetLayoutView="100" workbookViewId="0">
      <selection activeCell="J12" sqref="J12"/>
    </sheetView>
  </sheetViews>
  <sheetFormatPr defaultColWidth="18.7109375" defaultRowHeight="19.5" customHeight="1" x14ac:dyDescent="0.25"/>
  <cols>
    <col min="5" max="5" width="27.140625" customWidth="1"/>
  </cols>
  <sheetData>
    <row r="1" spans="1:8" ht="19.5" customHeight="1" x14ac:dyDescent="0.35">
      <c r="A1" s="30" t="s">
        <v>0</v>
      </c>
      <c r="B1" s="30"/>
      <c r="C1" s="30"/>
      <c r="D1" s="30"/>
      <c r="E1" s="30"/>
      <c r="F1" s="30"/>
      <c r="G1" s="30"/>
      <c r="H1" s="30"/>
    </row>
    <row r="2" spans="1:8" ht="19.5" customHeight="1" x14ac:dyDescent="0.35">
      <c r="A2" s="30" t="s">
        <v>1</v>
      </c>
      <c r="B2" s="30"/>
      <c r="C2" s="30"/>
      <c r="D2" s="30"/>
      <c r="E2" s="30"/>
      <c r="F2" s="30"/>
      <c r="G2" s="30"/>
      <c r="H2" s="30"/>
    </row>
    <row r="3" spans="1:8" ht="19.5" customHeight="1" x14ac:dyDescent="0.35">
      <c r="A3" s="31" t="s">
        <v>2</v>
      </c>
      <c r="B3" s="31"/>
      <c r="C3" s="31"/>
      <c r="D3" s="31"/>
      <c r="E3" s="31"/>
      <c r="F3" s="31"/>
      <c r="G3" s="31"/>
      <c r="H3" s="31"/>
    </row>
    <row r="4" spans="1:8" ht="19.5" customHeight="1" thickBot="1" x14ac:dyDescent="0.3">
      <c r="A4" s="1"/>
      <c r="B4" s="1"/>
      <c r="C4" s="1"/>
      <c r="D4" s="1"/>
      <c r="E4" s="1"/>
      <c r="F4" s="1"/>
      <c r="G4" s="1"/>
      <c r="H4" s="1"/>
    </row>
    <row r="5" spans="1:8" ht="39" customHeight="1" x14ac:dyDescent="0.25">
      <c r="A5" s="2" t="s">
        <v>3</v>
      </c>
      <c r="B5" s="3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  <c r="H5" s="5" t="s">
        <v>10</v>
      </c>
    </row>
    <row r="6" spans="1:8" ht="19.5" customHeight="1" x14ac:dyDescent="0.25">
      <c r="A6" s="6" t="s">
        <v>11</v>
      </c>
      <c r="B6" s="7">
        <v>298.26691681140909</v>
      </c>
      <c r="C6" s="7">
        <v>347.54763589467319</v>
      </c>
      <c r="D6" s="7">
        <v>2600.9580237379678</v>
      </c>
      <c r="E6" s="7">
        <v>0</v>
      </c>
      <c r="F6" s="7">
        <v>802.59648718911319</v>
      </c>
      <c r="G6" s="8">
        <v>4049.3690636331635</v>
      </c>
      <c r="H6" s="9">
        <v>8.0987381272663278E-2</v>
      </c>
    </row>
    <row r="7" spans="1:8" ht="19.5" customHeight="1" x14ac:dyDescent="0.25">
      <c r="A7" s="6" t="s">
        <v>12</v>
      </c>
      <c r="B7" s="7">
        <v>322.90412299246498</v>
      </c>
      <c r="C7" s="7">
        <v>380.04301663136602</v>
      </c>
      <c r="D7" s="7">
        <v>2358.7925449359241</v>
      </c>
      <c r="E7" s="7">
        <v>0</v>
      </c>
      <c r="F7" s="7">
        <v>707.93575605521846</v>
      </c>
      <c r="G7" s="8">
        <v>3769.6754406149735</v>
      </c>
      <c r="H7" s="9">
        <v>7.5393508812299476E-2</v>
      </c>
    </row>
    <row r="8" spans="1:8" ht="19.5" customHeight="1" x14ac:dyDescent="0.25">
      <c r="A8" s="6" t="s">
        <v>13</v>
      </c>
      <c r="B8" s="7">
        <v>353.28990550374806</v>
      </c>
      <c r="C8" s="7">
        <v>284.29437609871746</v>
      </c>
      <c r="D8" s="7">
        <v>2862.6869515541262</v>
      </c>
      <c r="E8" s="7">
        <v>0</v>
      </c>
      <c r="F8" s="7">
        <v>649.02782713312638</v>
      </c>
      <c r="G8" s="8">
        <v>4149.299060289718</v>
      </c>
      <c r="H8" s="9">
        <v>8.2985981205794368E-2</v>
      </c>
    </row>
    <row r="9" spans="1:8" ht="19.5" customHeight="1" x14ac:dyDescent="0.25">
      <c r="A9" s="6" t="s">
        <v>14</v>
      </c>
      <c r="B9" s="7">
        <v>380.09347040058356</v>
      </c>
      <c r="C9" s="7">
        <v>443.45709781670263</v>
      </c>
      <c r="D9" s="7">
        <v>2612.6254578695316</v>
      </c>
      <c r="E9" s="7">
        <v>0</v>
      </c>
      <c r="F9" s="7">
        <v>760.14910047425394</v>
      </c>
      <c r="G9" s="8">
        <v>4196.3251265610716</v>
      </c>
      <c r="H9" s="9">
        <v>8.3926502531221442E-2</v>
      </c>
    </row>
    <row r="10" spans="1:8" ht="19.5" customHeight="1" x14ac:dyDescent="0.25">
      <c r="A10" s="6" t="s">
        <v>15</v>
      </c>
      <c r="B10" s="7">
        <v>347.5003354860317</v>
      </c>
      <c r="C10" s="7">
        <v>410.33104496479001</v>
      </c>
      <c r="D10" s="7">
        <v>3975.7563836726099</v>
      </c>
      <c r="E10" s="7">
        <v>0</v>
      </c>
      <c r="F10" s="7">
        <v>665.0437454991295</v>
      </c>
      <c r="G10" s="8">
        <v>5398.6315096225617</v>
      </c>
      <c r="H10" s="9">
        <v>0.10797263019245125</v>
      </c>
    </row>
    <row r="11" spans="1:8" ht="19.5" customHeight="1" x14ac:dyDescent="0.25">
      <c r="A11" s="6" t="s">
        <v>16</v>
      </c>
      <c r="B11" s="7">
        <v>317.85874607070775</v>
      </c>
      <c r="C11" s="7">
        <v>473.73566606839842</v>
      </c>
      <c r="D11" s="7">
        <v>2856.4432976134517</v>
      </c>
      <c r="E11" s="7">
        <v>0</v>
      </c>
      <c r="F11" s="7">
        <v>771.09756839446732</v>
      </c>
      <c r="G11" s="8">
        <v>4419.135278147025</v>
      </c>
      <c r="H11" s="9">
        <v>8.8382705562940519E-2</v>
      </c>
    </row>
    <row r="12" spans="1:8" ht="19.5" customHeight="1" x14ac:dyDescent="0.25">
      <c r="A12" s="6" t="s">
        <v>17</v>
      </c>
      <c r="B12" s="7">
        <v>323.3203665885099</v>
      </c>
      <c r="C12" s="7">
        <v>298.09348197972366</v>
      </c>
      <c r="D12" s="7">
        <v>2886.0754269470472</v>
      </c>
      <c r="E12" s="7">
        <v>0</v>
      </c>
      <c r="F12" s="7">
        <v>834.13009295009601</v>
      </c>
      <c r="G12" s="8">
        <v>4341.6193684653763</v>
      </c>
      <c r="H12" s="9">
        <v>8.683238736930754E-2</v>
      </c>
    </row>
    <row r="13" spans="1:8" ht="19.5" customHeight="1" x14ac:dyDescent="0.25">
      <c r="A13" s="6" t="s">
        <v>18</v>
      </c>
      <c r="B13" s="7">
        <v>310.2906806880718</v>
      </c>
      <c r="C13" s="7">
        <v>466.79196607982993</v>
      </c>
      <c r="D13" s="7">
        <v>2664.971243432763</v>
      </c>
      <c r="E13" s="7">
        <v>0</v>
      </c>
      <c r="F13" s="7">
        <v>662.99406112466568</v>
      </c>
      <c r="G13" s="8">
        <v>4105.0479513253304</v>
      </c>
      <c r="H13" s="9">
        <v>8.2100959026506617E-2</v>
      </c>
    </row>
    <row r="14" spans="1:8" ht="19.5" customHeight="1" x14ac:dyDescent="0.25">
      <c r="A14" s="6" t="s">
        <v>19</v>
      </c>
      <c r="B14" s="7">
        <v>380.04616999194212</v>
      </c>
      <c r="C14" s="7">
        <v>413.78712815619383</v>
      </c>
      <c r="D14" s="7">
        <v>2562.1086214404377</v>
      </c>
      <c r="E14" s="7">
        <v>0</v>
      </c>
      <c r="F14" s="7">
        <v>266.52518925240366</v>
      </c>
      <c r="G14" s="8">
        <v>3622.4671088409777</v>
      </c>
      <c r="H14" s="9">
        <v>7.2449342176819559E-2</v>
      </c>
    </row>
    <row r="15" spans="1:8" ht="19.5" customHeight="1" x14ac:dyDescent="0.25">
      <c r="A15" s="6" t="s">
        <v>20</v>
      </c>
      <c r="B15" s="7">
        <v>331.49072384118062</v>
      </c>
      <c r="C15" s="7">
        <v>380.29528547745383</v>
      </c>
      <c r="D15" s="7">
        <v>2604.1113843140665</v>
      </c>
      <c r="E15" s="7">
        <v>0</v>
      </c>
      <c r="F15" s="7">
        <v>911.07209100689442</v>
      </c>
      <c r="G15" s="8">
        <v>4226.969484639596</v>
      </c>
      <c r="H15" s="9">
        <v>8.4539389692791927E-2</v>
      </c>
    </row>
    <row r="16" spans="1:8" ht="19.5" customHeight="1" x14ac:dyDescent="0.25">
      <c r="A16" s="6" t="s">
        <v>21</v>
      </c>
      <c r="B16" s="7">
        <v>394.23313922380834</v>
      </c>
      <c r="C16" s="7">
        <v>297.99257444128853</v>
      </c>
      <c r="D16" s="7">
        <v>2714.0974478477988</v>
      </c>
      <c r="E16" s="7">
        <v>0</v>
      </c>
      <c r="F16" s="7">
        <v>816.12125069999865</v>
      </c>
      <c r="G16" s="8">
        <v>4222.4444122128943</v>
      </c>
      <c r="H16" s="9">
        <v>8.4448888244257905E-2</v>
      </c>
    </row>
    <row r="17" spans="1:8" ht="19.5" customHeight="1" x14ac:dyDescent="0.25">
      <c r="A17" s="6" t="s">
        <v>22</v>
      </c>
      <c r="B17" s="7">
        <v>365.15915471218204</v>
      </c>
      <c r="C17" s="7">
        <v>174.69617591584532</v>
      </c>
      <c r="D17" s="7">
        <v>2156.5643778301646</v>
      </c>
      <c r="E17" s="7">
        <v>0</v>
      </c>
      <c r="F17" s="7">
        <v>802.59648718911319</v>
      </c>
      <c r="G17" s="8">
        <v>3499.0161956473053</v>
      </c>
      <c r="H17" s="9">
        <v>6.9980323912946119E-2</v>
      </c>
    </row>
    <row r="18" spans="1:8" ht="19.5" customHeight="1" x14ac:dyDescent="0.25">
      <c r="G18" s="10"/>
    </row>
    <row r="19" spans="1:8" ht="19.5" customHeight="1" x14ac:dyDescent="0.25">
      <c r="B19" s="13"/>
    </row>
    <row r="20" spans="1:8" ht="19.5" customHeight="1" x14ac:dyDescent="0.25">
      <c r="B20" s="13"/>
    </row>
    <row r="21" spans="1:8" ht="19.5" customHeight="1" x14ac:dyDescent="0.25">
      <c r="B21" s="13"/>
    </row>
    <row r="22" spans="1:8" ht="19.5" customHeight="1" x14ac:dyDescent="0.25">
      <c r="B22" s="13"/>
    </row>
    <row r="23" spans="1:8" ht="19.5" customHeight="1" x14ac:dyDescent="0.25">
      <c r="B23" s="13"/>
    </row>
  </sheetData>
  <mergeCells count="3">
    <mergeCell ref="A1:H1"/>
    <mergeCell ref="A2:H2"/>
    <mergeCell ref="A3:H3"/>
  </mergeCells>
  <printOptions horizontalCentered="1" verticalCentered="1"/>
  <pageMargins left="0" right="0" top="0" bottom="0" header="0" footer="0"/>
  <pageSetup scale="85" orientation="landscape" r:id="rId1"/>
  <rowBreaks count="1" manualBreakCount="1">
    <brk id="1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D16" sqref="D16"/>
    </sheetView>
  </sheetViews>
  <sheetFormatPr defaultColWidth="14" defaultRowHeight="23.25" customHeight="1" x14ac:dyDescent="0.25"/>
  <cols>
    <col min="1" max="1" width="17.42578125" customWidth="1"/>
    <col min="2" max="2" width="18" customWidth="1"/>
    <col min="3" max="3" width="16.28515625" customWidth="1"/>
    <col min="4" max="4" width="16.42578125" customWidth="1"/>
    <col min="5" max="5" width="13.5703125" bestFit="1" customWidth="1"/>
    <col min="6" max="6" width="14.28515625" bestFit="1" customWidth="1"/>
    <col min="7" max="9" width="13.7109375" customWidth="1"/>
    <col min="10" max="10" width="13.5703125" bestFit="1" customWidth="1"/>
    <col min="11" max="11" width="12.85546875" customWidth="1"/>
  </cols>
  <sheetData>
    <row r="1" spans="1:12" ht="23.25" customHeight="1" x14ac:dyDescent="0.25">
      <c r="A1" s="28" t="s">
        <v>23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2" ht="23.25" customHeight="1" x14ac:dyDescent="0.25">
      <c r="A2" s="28" t="s">
        <v>24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2" ht="30" x14ac:dyDescent="0.25">
      <c r="A3" s="14" t="s">
        <v>3</v>
      </c>
      <c r="B3" s="15" t="s">
        <v>26</v>
      </c>
      <c r="C3" s="15" t="s">
        <v>27</v>
      </c>
      <c r="D3" s="15" t="s">
        <v>28</v>
      </c>
      <c r="E3" s="15" t="s">
        <v>29</v>
      </c>
      <c r="F3" s="15" t="s">
        <v>30</v>
      </c>
      <c r="G3" s="15" t="s">
        <v>31</v>
      </c>
      <c r="H3" s="16" t="s">
        <v>32</v>
      </c>
      <c r="I3" s="16" t="s">
        <v>33</v>
      </c>
      <c r="J3" s="15" t="s">
        <v>34</v>
      </c>
      <c r="K3" s="15" t="s">
        <v>35</v>
      </c>
    </row>
    <row r="4" spans="1:12" ht="15" x14ac:dyDescent="0.25">
      <c r="A4" s="17" t="s">
        <v>36</v>
      </c>
      <c r="B4" s="18">
        <v>17231.799750267855</v>
      </c>
      <c r="C4" s="18">
        <v>2574.4390445686881</v>
      </c>
      <c r="D4" s="18">
        <v>116998.57931216458</v>
      </c>
      <c r="E4" s="18">
        <v>1585.7597445767501</v>
      </c>
      <c r="F4" s="18">
        <v>22421.523372283671</v>
      </c>
      <c r="G4" s="18">
        <v>2783.8695251640465</v>
      </c>
      <c r="H4" s="18">
        <v>4003.9535332893088</v>
      </c>
      <c r="I4" s="18">
        <v>3112.1271920681179</v>
      </c>
      <c r="J4" s="18">
        <v>2716.8847661333148</v>
      </c>
      <c r="K4" s="18">
        <v>1399.4278456278419</v>
      </c>
      <c r="L4" s="19"/>
    </row>
    <row r="5" spans="1:12" ht="15" x14ac:dyDescent="0.25">
      <c r="A5" s="17" t="s">
        <v>12</v>
      </c>
      <c r="B5" s="18">
        <v>15771.601389567239</v>
      </c>
      <c r="C5" s="18">
        <v>3233.5125033687918</v>
      </c>
      <c r="D5" s="18">
        <v>131909.45112971403</v>
      </c>
      <c r="E5" s="18">
        <v>1303.3765125831053</v>
      </c>
      <c r="F5" s="18">
        <v>21121.037670417514</v>
      </c>
      <c r="G5" s="18">
        <v>1958.1804695388375</v>
      </c>
      <c r="H5" s="18">
        <v>2303.0259044859563</v>
      </c>
      <c r="I5" s="18">
        <v>4086.9762473063793</v>
      </c>
      <c r="J5" s="18">
        <v>2171.8639925264283</v>
      </c>
      <c r="K5" s="18">
        <v>1953.6137173861578</v>
      </c>
    </row>
    <row r="6" spans="1:12" ht="15" x14ac:dyDescent="0.25">
      <c r="A6" s="17" t="s">
        <v>13</v>
      </c>
      <c r="B6" s="18">
        <v>18669.71680854704</v>
      </c>
      <c r="C6" s="18">
        <v>2551.6878572098926</v>
      </c>
      <c r="D6" s="18">
        <v>142237.23122167939</v>
      </c>
      <c r="E6" s="18">
        <v>2057.7495805087106</v>
      </c>
      <c r="F6" s="18">
        <v>16162.341954311603</v>
      </c>
      <c r="G6" s="18">
        <v>1885.576052371367</v>
      </c>
      <c r="H6" s="18">
        <v>2410.4251844108412</v>
      </c>
      <c r="I6" s="18">
        <v>3589.6596865544725</v>
      </c>
      <c r="J6" s="18">
        <v>1890.1239585061558</v>
      </c>
      <c r="K6" s="18">
        <v>1276.3765098411418</v>
      </c>
    </row>
    <row r="7" spans="1:12" ht="15" x14ac:dyDescent="0.25">
      <c r="A7" s="17" t="s">
        <v>14</v>
      </c>
      <c r="B7" s="18">
        <v>23892.409921725874</v>
      </c>
      <c r="C7" s="20">
        <v>2629.2836255954844</v>
      </c>
      <c r="D7" s="18">
        <v>145681.70054558967</v>
      </c>
      <c r="E7" s="18">
        <v>1665.5386372647149</v>
      </c>
      <c r="F7" s="18">
        <v>19396.750385812866</v>
      </c>
      <c r="G7" s="18">
        <v>2991.0651922516431</v>
      </c>
      <c r="H7" s="18">
        <v>3038.2349380222017</v>
      </c>
      <c r="I7" s="18">
        <v>4253.113493131842</v>
      </c>
      <c r="J7" s="18">
        <v>2561.1278446633733</v>
      </c>
      <c r="K7" s="18">
        <v>1538.8205660663332</v>
      </c>
    </row>
    <row r="8" spans="1:12" ht="15" x14ac:dyDescent="0.25">
      <c r="A8" s="17" t="s">
        <v>15</v>
      </c>
      <c r="B8" s="21">
        <v>37137.971555548516</v>
      </c>
      <c r="C8" s="20">
        <v>2769.2816350586222</v>
      </c>
      <c r="D8" s="21">
        <v>155180.63991180414</v>
      </c>
      <c r="E8" s="21">
        <v>2472.1188252105808</v>
      </c>
      <c r="F8" s="21">
        <v>16190.948708565951</v>
      </c>
      <c r="G8" s="21">
        <v>1058.8939852541253</v>
      </c>
      <c r="H8" s="21">
        <v>3280.7064990894773</v>
      </c>
      <c r="I8" s="21">
        <v>3229.8755251907833</v>
      </c>
      <c r="J8" s="21">
        <v>2261.7028184869041</v>
      </c>
      <c r="K8" s="21">
        <v>3222.5245379023363</v>
      </c>
    </row>
    <row r="9" spans="1:12" ht="15" x14ac:dyDescent="0.25">
      <c r="A9" s="17" t="s">
        <v>16</v>
      </c>
      <c r="B9" s="21">
        <v>43832.555860707696</v>
      </c>
      <c r="C9" s="20">
        <v>2108.1250206659784</v>
      </c>
      <c r="D9" s="21">
        <v>160037.94029789412</v>
      </c>
      <c r="E9" s="21">
        <v>2922.4637837428363</v>
      </c>
      <c r="F9" s="21">
        <v>25968.033630282662</v>
      </c>
      <c r="G9" s="21">
        <v>2823.4754065962748</v>
      </c>
      <c r="H9" s="21">
        <v>2303.0259044859563</v>
      </c>
      <c r="I9" s="21">
        <v>5802.7752672934266</v>
      </c>
      <c r="J9" s="21">
        <v>1843.0550033565876</v>
      </c>
      <c r="K9" s="21">
        <v>2473.4529380893528</v>
      </c>
    </row>
    <row r="10" spans="1:12" ht="15" x14ac:dyDescent="0.25">
      <c r="A10" s="17" t="s">
        <v>17</v>
      </c>
      <c r="B10" s="18">
        <v>21812.337562089004</v>
      </c>
      <c r="C10" s="20">
        <v>1840.7132522475381</v>
      </c>
      <c r="D10" s="21">
        <v>154337.45486416403</v>
      </c>
      <c r="E10" s="21">
        <v>1616.3850392746253</v>
      </c>
      <c r="F10" s="21">
        <v>24189.604076782642</v>
      </c>
      <c r="G10" s="21">
        <v>1498.1106067301373</v>
      </c>
      <c r="H10" s="21">
        <v>1217.9554377431091</v>
      </c>
      <c r="I10" s="21">
        <v>4892.4096150682208</v>
      </c>
      <c r="J10" s="21">
        <v>1774.0702396623781</v>
      </c>
      <c r="K10" s="21">
        <v>2616.5106785415151</v>
      </c>
    </row>
    <row r="11" spans="1:12" ht="15" x14ac:dyDescent="0.25">
      <c r="A11" s="17" t="s">
        <v>18</v>
      </c>
      <c r="B11" s="18">
        <v>19734.9692115174</v>
      </c>
      <c r="C11" s="22">
        <v>1411.2845908502754</v>
      </c>
      <c r="D11" s="21">
        <v>129415.78876810637</v>
      </c>
      <c r="E11" s="21">
        <v>1286.3569554267417</v>
      </c>
      <c r="F11" s="21">
        <v>19053.540587519688</v>
      </c>
      <c r="G11" s="21">
        <v>2014.0946550902181</v>
      </c>
      <c r="H11" s="21">
        <v>1470.1875763263322</v>
      </c>
      <c r="I11" s="21">
        <v>3770.1175199374343</v>
      </c>
      <c r="J11" s="21">
        <v>1602.7769699430676</v>
      </c>
      <c r="K11" s="21">
        <v>1554.6604216636222</v>
      </c>
    </row>
    <row r="12" spans="1:12" ht="15" x14ac:dyDescent="0.25">
      <c r="A12" s="17" t="s">
        <v>19</v>
      </c>
      <c r="B12" s="18">
        <v>21982.362171705023</v>
      </c>
      <c r="C12" s="20">
        <v>1272.1824093893904</v>
      </c>
      <c r="D12" s="21">
        <v>153504.89356816706</v>
      </c>
      <c r="E12" s="21">
        <v>2193.8745117209578</v>
      </c>
      <c r="F12" s="21">
        <v>33284.753411748468</v>
      </c>
      <c r="G12" s="21">
        <v>2192.069049387268</v>
      </c>
      <c r="H12" s="21">
        <v>841.52641812201307</v>
      </c>
      <c r="I12" s="21">
        <v>5776.2358390962845</v>
      </c>
      <c r="J12" s="21">
        <v>1643.5886284977528</v>
      </c>
      <c r="K12" s="21">
        <v>1443.3583062331447</v>
      </c>
    </row>
    <row r="13" spans="1:12" ht="15" x14ac:dyDescent="0.25">
      <c r="A13" s="17" t="s">
        <v>20</v>
      </c>
      <c r="B13" s="23">
        <v>21745.420030815498</v>
      </c>
      <c r="C13" s="20">
        <v>1312.2102796487713</v>
      </c>
      <c r="D13" s="18">
        <v>156450.53185662089</v>
      </c>
      <c r="E13" s="18">
        <v>1900.0968686117803</v>
      </c>
      <c r="F13" s="18">
        <v>14211.547062736721</v>
      </c>
      <c r="G13" s="18">
        <v>2382.8456533815997</v>
      </c>
      <c r="H13" s="18">
        <v>1198.5518800306816</v>
      </c>
      <c r="I13" s="18">
        <v>2647.059864377884</v>
      </c>
      <c r="J13" s="18">
        <v>1895.1380597970888</v>
      </c>
      <c r="K13" s="18">
        <v>2366.2713256351972</v>
      </c>
    </row>
    <row r="14" spans="1:12" ht="15" x14ac:dyDescent="0.25">
      <c r="A14" s="17" t="s">
        <v>21</v>
      </c>
      <c r="B14" s="18">
        <v>25741.175723723103</v>
      </c>
      <c r="C14" s="20">
        <v>1769.6157917513026</v>
      </c>
      <c r="D14" s="18">
        <v>157733.74487246046</v>
      </c>
      <c r="E14" s="18">
        <v>3801.7024833594114</v>
      </c>
      <c r="F14" s="18">
        <v>19692.297002298925</v>
      </c>
      <c r="G14" s="18">
        <v>1669.4661975052918</v>
      </c>
      <c r="H14" s="18">
        <v>1170.7989126359366</v>
      </c>
      <c r="I14" s="18">
        <v>3658.0010179319243</v>
      </c>
      <c r="J14" s="18">
        <v>1746.4989703997662</v>
      </c>
      <c r="K14" s="18">
        <v>1950.5547635003832</v>
      </c>
    </row>
    <row r="15" spans="1:12" ht="15" x14ac:dyDescent="0.25">
      <c r="A15" s="17" t="s">
        <v>22</v>
      </c>
      <c r="B15" s="18">
        <v>32447.680425281382</v>
      </c>
      <c r="C15" s="20">
        <v>1527.6640239365631</v>
      </c>
      <c r="D15" s="18">
        <v>146512.04605202656</v>
      </c>
      <c r="E15" s="18">
        <v>2194.5770920110854</v>
      </c>
      <c r="F15" s="18">
        <v>18307.622480152324</v>
      </c>
      <c r="G15" s="18">
        <v>1742.3532410204939</v>
      </c>
      <c r="H15" s="18">
        <v>1761.6078456494909</v>
      </c>
      <c r="I15" s="18">
        <v>5181.6488006258287</v>
      </c>
      <c r="J15" s="18">
        <v>2893.168782318483</v>
      </c>
      <c r="K15" s="18">
        <v>3204.4284238042715</v>
      </c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Takaful</vt:lpstr>
      <vt:lpstr>NON Life </vt:lpstr>
      <vt:lpstr>Life</vt:lpstr>
      <vt:lpstr>Sheet1</vt:lpstr>
      <vt:lpstr>Life!Print_Area</vt:lpstr>
      <vt:lpstr>'NON Life '!Print_Area</vt:lpstr>
      <vt:lpstr>Takaful!Print_Area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</dc:creator>
  <cp:lastModifiedBy>Firaol Delesa</cp:lastModifiedBy>
  <dcterms:created xsi:type="dcterms:W3CDTF">2026-07-02T08:47:51Z</dcterms:created>
  <dcterms:modified xsi:type="dcterms:W3CDTF">2026-07-07T10:59:44Z</dcterms:modified>
</cp:coreProperties>
</file>